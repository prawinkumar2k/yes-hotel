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0420"/>
  </bookViews>
  <sheets>
    <sheet name="Summary" sheetId="1" r:id="rId1"/>
    <sheet name="Paytm" sheetId="2" r:id="rId2"/>
    <sheet name="Phone pe" sheetId="3" r:id="rId3"/>
    <sheet name="Cash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4" l="1"/>
  <c r="AH33" i="1" l="1"/>
  <c r="AH34" i="1"/>
  <c r="K37" i="1" l="1"/>
  <c r="L37" i="1"/>
  <c r="M37" i="1"/>
  <c r="AE12" i="1" l="1"/>
  <c r="AE7" i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D2" i="4" l="1"/>
  <c r="C2" i="4"/>
  <c r="G2" i="4" s="1"/>
  <c r="F34" i="2"/>
  <c r="D3" i="3"/>
  <c r="D4" i="3"/>
  <c r="D5" i="3"/>
  <c r="E5" i="3" s="1"/>
  <c r="G5" i="3" s="1"/>
  <c r="H5" i="3" s="1"/>
  <c r="D6" i="3"/>
  <c r="D7" i="3"/>
  <c r="D8" i="3"/>
  <c r="D9" i="3"/>
  <c r="D10" i="3"/>
  <c r="D11" i="3"/>
  <c r="D12" i="3"/>
  <c r="D13" i="3"/>
  <c r="E13" i="3" s="1"/>
  <c r="G13" i="3" s="1"/>
  <c r="H13" i="3" s="1"/>
  <c r="D14" i="3"/>
  <c r="D15" i="3"/>
  <c r="D16" i="3"/>
  <c r="D17" i="3"/>
  <c r="D18" i="3"/>
  <c r="D19" i="3"/>
  <c r="D20" i="3"/>
  <c r="D21" i="3"/>
  <c r="E21" i="3" s="1"/>
  <c r="G21" i="3" s="1"/>
  <c r="H21" i="3" s="1"/>
  <c r="D22" i="3"/>
  <c r="D23" i="3"/>
  <c r="D24" i="3"/>
  <c r="D25" i="3"/>
  <c r="D26" i="3"/>
  <c r="D27" i="3"/>
  <c r="D28" i="3"/>
  <c r="D29" i="3"/>
  <c r="E29" i="3" s="1"/>
  <c r="G29" i="3" s="1"/>
  <c r="H29" i="3" s="1"/>
  <c r="D30" i="3"/>
  <c r="D31" i="3"/>
  <c r="D3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E25" i="3" s="1"/>
  <c r="G25" i="3" s="1"/>
  <c r="H25" i="3" s="1"/>
  <c r="C26" i="3"/>
  <c r="C27" i="3"/>
  <c r="C28" i="3"/>
  <c r="C29" i="3"/>
  <c r="C30" i="3"/>
  <c r="C31" i="3"/>
  <c r="E31" i="3" s="1"/>
  <c r="G31" i="3" s="1"/>
  <c r="H31" i="3" s="1"/>
  <c r="C32" i="3"/>
  <c r="D2" i="3"/>
  <c r="C2" i="3"/>
  <c r="D3" i="2"/>
  <c r="D4" i="2"/>
  <c r="D5" i="2"/>
  <c r="D6" i="2"/>
  <c r="D7" i="2"/>
  <c r="E7" i="2" s="1"/>
  <c r="G7" i="2" s="1"/>
  <c r="H7" i="2" s="1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E23" i="2" s="1"/>
  <c r="G23" i="2" s="1"/>
  <c r="H23" i="2" s="1"/>
  <c r="D24" i="2"/>
  <c r="D25" i="2"/>
  <c r="D26" i="2"/>
  <c r="D27" i="2"/>
  <c r="D28" i="2"/>
  <c r="D29" i="2"/>
  <c r="D30" i="2"/>
  <c r="D31" i="2"/>
  <c r="E31" i="2" s="1"/>
  <c r="G31" i="2" s="1"/>
  <c r="H31" i="2" s="1"/>
  <c r="D3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D2" i="2"/>
  <c r="C2" i="2"/>
  <c r="H34" i="4"/>
  <c r="F34" i="4"/>
  <c r="E34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D34" i="4"/>
  <c r="AG37" i="1"/>
  <c r="AF37" i="1"/>
  <c r="AF40" i="1" s="1"/>
  <c r="AD37" i="1"/>
  <c r="AB37" i="1"/>
  <c r="AA37" i="1"/>
  <c r="Z37" i="1"/>
  <c r="Y37" i="1"/>
  <c r="W37" i="1"/>
  <c r="U37" i="1"/>
  <c r="R37" i="1"/>
  <c r="Q37" i="1"/>
  <c r="Q40" i="1" s="1"/>
  <c r="N37" i="1"/>
  <c r="J37" i="1"/>
  <c r="I37" i="1"/>
  <c r="H37" i="1"/>
  <c r="G37" i="1"/>
  <c r="F37" i="1"/>
  <c r="E37" i="1"/>
  <c r="C37" i="1"/>
  <c r="AE34" i="1"/>
  <c r="P34" i="1"/>
  <c r="O34" i="1" s="1"/>
  <c r="AE33" i="1"/>
  <c r="P33" i="1"/>
  <c r="S33" i="1" s="1"/>
  <c r="AE32" i="1"/>
  <c r="AH32" i="1" s="1"/>
  <c r="P32" i="1"/>
  <c r="S32" i="1" s="1"/>
  <c r="AE31" i="1"/>
  <c r="AH31" i="1" s="1"/>
  <c r="P31" i="1"/>
  <c r="S31" i="1" s="1"/>
  <c r="AE30" i="1"/>
  <c r="AH30" i="1" s="1"/>
  <c r="P30" i="1"/>
  <c r="O30" i="1" s="1"/>
  <c r="AE29" i="1"/>
  <c r="AH29" i="1" s="1"/>
  <c r="P29" i="1"/>
  <c r="S29" i="1" s="1"/>
  <c r="AE28" i="1"/>
  <c r="AH28" i="1" s="1"/>
  <c r="X37" i="1"/>
  <c r="P28" i="1"/>
  <c r="S28" i="1" s="1"/>
  <c r="AE27" i="1"/>
  <c r="AH27" i="1" s="1"/>
  <c r="P27" i="1"/>
  <c r="S27" i="1" s="1"/>
  <c r="AE26" i="1"/>
  <c r="AH26" i="1" s="1"/>
  <c r="P26" i="1"/>
  <c r="O26" i="1" s="1"/>
  <c r="AE25" i="1"/>
  <c r="AH25" i="1" s="1"/>
  <c r="P25" i="1"/>
  <c r="O25" i="1" s="1"/>
  <c r="AE24" i="1"/>
  <c r="AH24" i="1" s="1"/>
  <c r="P24" i="1"/>
  <c r="O24" i="1" s="1"/>
  <c r="AE23" i="1"/>
  <c r="AH23" i="1" s="1"/>
  <c r="P23" i="1"/>
  <c r="S23" i="1" s="1"/>
  <c r="AE22" i="1"/>
  <c r="AH22" i="1" s="1"/>
  <c r="P22" i="1"/>
  <c r="S22" i="1" s="1"/>
  <c r="AE21" i="1"/>
  <c r="AH21" i="1" s="1"/>
  <c r="P21" i="1"/>
  <c r="O21" i="1" s="1"/>
  <c r="AE20" i="1"/>
  <c r="AH20" i="1" s="1"/>
  <c r="P20" i="1"/>
  <c r="S20" i="1" s="1"/>
  <c r="AE19" i="1"/>
  <c r="AH19" i="1" s="1"/>
  <c r="P19" i="1"/>
  <c r="S19" i="1" s="1"/>
  <c r="AE18" i="1"/>
  <c r="AH18" i="1" s="1"/>
  <c r="P18" i="1"/>
  <c r="O18" i="1" s="1"/>
  <c r="AE17" i="1"/>
  <c r="AH17" i="1" s="1"/>
  <c r="P17" i="1"/>
  <c r="O17" i="1" s="1"/>
  <c r="AE16" i="1"/>
  <c r="AH16" i="1" s="1"/>
  <c r="P16" i="1"/>
  <c r="O16" i="1" s="1"/>
  <c r="AE15" i="1"/>
  <c r="AH15" i="1" s="1"/>
  <c r="P15" i="1"/>
  <c r="S15" i="1" s="1"/>
  <c r="AE14" i="1"/>
  <c r="AH14" i="1" s="1"/>
  <c r="P14" i="1"/>
  <c r="S14" i="1" s="1"/>
  <c r="AE13" i="1"/>
  <c r="AH13" i="1" s="1"/>
  <c r="P13" i="1"/>
  <c r="O13" i="1" s="1"/>
  <c r="AH12" i="1"/>
  <c r="P12" i="1"/>
  <c r="S12" i="1" s="1"/>
  <c r="AE11" i="1"/>
  <c r="AH11" i="1" s="1"/>
  <c r="P11" i="1"/>
  <c r="S11" i="1" s="1"/>
  <c r="D37" i="1"/>
  <c r="AE10" i="1"/>
  <c r="AH10" i="1" s="1"/>
  <c r="P10" i="1"/>
  <c r="AE9" i="1"/>
  <c r="AH9" i="1" s="1"/>
  <c r="P9" i="1"/>
  <c r="O9" i="1" s="1"/>
  <c r="AE8" i="1"/>
  <c r="AH8" i="1" s="1"/>
  <c r="P8" i="1"/>
  <c r="S8" i="1" s="1"/>
  <c r="V37" i="1"/>
  <c r="P7" i="1"/>
  <c r="O7" i="1" s="1"/>
  <c r="AE6" i="1"/>
  <c r="AH6" i="1" s="1"/>
  <c r="P6" i="1"/>
  <c r="S6" i="1" s="1"/>
  <c r="AE5" i="1"/>
  <c r="AH5" i="1" s="1"/>
  <c r="P5" i="1"/>
  <c r="S5" i="1" s="1"/>
  <c r="AE4" i="1"/>
  <c r="AH4" i="1" s="1"/>
  <c r="P4" i="1"/>
  <c r="S4" i="1" s="1"/>
  <c r="E2" i="3" l="1"/>
  <c r="G2" i="3" s="1"/>
  <c r="H2" i="3" s="1"/>
  <c r="E17" i="2"/>
  <c r="G17" i="2" s="1"/>
  <c r="H17" i="2" s="1"/>
  <c r="E15" i="2"/>
  <c r="G15" i="2" s="1"/>
  <c r="H15" i="2" s="1"/>
  <c r="AF41" i="1"/>
  <c r="AF43" i="1" s="1"/>
  <c r="E11" i="3"/>
  <c r="G11" i="3" s="1"/>
  <c r="H11" i="3" s="1"/>
  <c r="E9" i="3"/>
  <c r="G9" i="3" s="1"/>
  <c r="H9" i="3" s="1"/>
  <c r="E32" i="3"/>
  <c r="G32" i="3" s="1"/>
  <c r="H32" i="3" s="1"/>
  <c r="E24" i="3"/>
  <c r="G24" i="3" s="1"/>
  <c r="H24" i="3" s="1"/>
  <c r="E16" i="3"/>
  <c r="G16" i="3" s="1"/>
  <c r="H16" i="3" s="1"/>
  <c r="E23" i="3"/>
  <c r="G23" i="3" s="1"/>
  <c r="H23" i="3" s="1"/>
  <c r="E15" i="3"/>
  <c r="G15" i="3" s="1"/>
  <c r="H15" i="3" s="1"/>
  <c r="E7" i="3"/>
  <c r="G7" i="3" s="1"/>
  <c r="H7" i="3" s="1"/>
  <c r="E28" i="2"/>
  <c r="G28" i="2" s="1"/>
  <c r="H28" i="2" s="1"/>
  <c r="E12" i="2"/>
  <c r="G12" i="2" s="1"/>
  <c r="H12" i="2" s="1"/>
  <c r="E26" i="3"/>
  <c r="G26" i="3" s="1"/>
  <c r="H26" i="3" s="1"/>
  <c r="E18" i="3"/>
  <c r="G18" i="3" s="1"/>
  <c r="H18" i="3" s="1"/>
  <c r="E10" i="3"/>
  <c r="G10" i="3" s="1"/>
  <c r="H10" i="3" s="1"/>
  <c r="E27" i="2"/>
  <c r="G27" i="2" s="1"/>
  <c r="H27" i="2" s="1"/>
  <c r="E19" i="2"/>
  <c r="G19" i="2" s="1"/>
  <c r="H19" i="2" s="1"/>
  <c r="E17" i="3"/>
  <c r="G17" i="3" s="1"/>
  <c r="H17" i="3" s="1"/>
  <c r="E4" i="2"/>
  <c r="G4" i="2" s="1"/>
  <c r="H4" i="2" s="1"/>
  <c r="E28" i="3"/>
  <c r="G28" i="3" s="1"/>
  <c r="H28" i="3" s="1"/>
  <c r="E20" i="3"/>
  <c r="G20" i="3" s="1"/>
  <c r="H20" i="3" s="1"/>
  <c r="E12" i="3"/>
  <c r="G12" i="3" s="1"/>
  <c r="H12" i="3" s="1"/>
  <c r="E4" i="3"/>
  <c r="G4" i="3" s="1"/>
  <c r="H4" i="3" s="1"/>
  <c r="E29" i="2"/>
  <c r="G29" i="2" s="1"/>
  <c r="H29" i="2" s="1"/>
  <c r="E13" i="2"/>
  <c r="G13" i="2" s="1"/>
  <c r="H13" i="2" s="1"/>
  <c r="E27" i="3"/>
  <c r="G27" i="3" s="1"/>
  <c r="H27" i="3" s="1"/>
  <c r="E19" i="3"/>
  <c r="G19" i="3" s="1"/>
  <c r="H19" i="3" s="1"/>
  <c r="E3" i="3"/>
  <c r="G3" i="3" s="1"/>
  <c r="H3" i="3" s="1"/>
  <c r="E32" i="2"/>
  <c r="G32" i="2" s="1"/>
  <c r="H32" i="2" s="1"/>
  <c r="E24" i="2"/>
  <c r="G24" i="2" s="1"/>
  <c r="H24" i="2" s="1"/>
  <c r="E16" i="2"/>
  <c r="G16" i="2" s="1"/>
  <c r="H16" i="2" s="1"/>
  <c r="E8" i="2"/>
  <c r="G8" i="2" s="1"/>
  <c r="H8" i="2" s="1"/>
  <c r="E30" i="3"/>
  <c r="G30" i="3" s="1"/>
  <c r="H30" i="3" s="1"/>
  <c r="E22" i="3"/>
  <c r="G22" i="3" s="1"/>
  <c r="H22" i="3" s="1"/>
  <c r="E14" i="3"/>
  <c r="G14" i="3" s="1"/>
  <c r="H14" i="3" s="1"/>
  <c r="E6" i="3"/>
  <c r="G6" i="3" s="1"/>
  <c r="H6" i="3" s="1"/>
  <c r="O12" i="1"/>
  <c r="O10" i="1"/>
  <c r="S10" i="1"/>
  <c r="E8" i="3"/>
  <c r="G8" i="3" s="1"/>
  <c r="H8" i="3" s="1"/>
  <c r="O28" i="1"/>
  <c r="O31" i="1"/>
  <c r="E25" i="2"/>
  <c r="G25" i="2" s="1"/>
  <c r="H25" i="2" s="1"/>
  <c r="E21" i="2"/>
  <c r="G21" i="2" s="1"/>
  <c r="H21" i="2" s="1"/>
  <c r="E20" i="2"/>
  <c r="G20" i="2" s="1"/>
  <c r="H20" i="2" s="1"/>
  <c r="O22" i="1"/>
  <c r="O20" i="1"/>
  <c r="S18" i="1"/>
  <c r="O14" i="1"/>
  <c r="E11" i="2"/>
  <c r="G11" i="2" s="1"/>
  <c r="H11" i="2" s="1"/>
  <c r="E9" i="2"/>
  <c r="G9" i="2" s="1"/>
  <c r="H9" i="2" s="1"/>
  <c r="E5" i="2"/>
  <c r="G5" i="2" s="1"/>
  <c r="H5" i="2" s="1"/>
  <c r="O6" i="1"/>
  <c r="E3" i="2"/>
  <c r="G3" i="2" s="1"/>
  <c r="H3" i="2" s="1"/>
  <c r="C34" i="2"/>
  <c r="P37" i="1"/>
  <c r="E30" i="2"/>
  <c r="G30" i="2" s="1"/>
  <c r="H30" i="2" s="1"/>
  <c r="E26" i="2"/>
  <c r="G26" i="2" s="1"/>
  <c r="H26" i="2" s="1"/>
  <c r="E22" i="2"/>
  <c r="G22" i="2" s="1"/>
  <c r="H22" i="2" s="1"/>
  <c r="E18" i="2"/>
  <c r="G18" i="2" s="1"/>
  <c r="H18" i="2" s="1"/>
  <c r="E14" i="2"/>
  <c r="G14" i="2" s="1"/>
  <c r="H14" i="2" s="1"/>
  <c r="E10" i="2"/>
  <c r="G10" i="2" s="1"/>
  <c r="H10" i="2" s="1"/>
  <c r="E6" i="2"/>
  <c r="G6" i="2" s="1"/>
  <c r="H6" i="2" s="1"/>
  <c r="D34" i="2"/>
  <c r="G34" i="4"/>
  <c r="C34" i="4"/>
  <c r="E2" i="2"/>
  <c r="S9" i="1"/>
  <c r="S16" i="1"/>
  <c r="S24" i="1"/>
  <c r="O4" i="1"/>
  <c r="S26" i="1"/>
  <c r="O33" i="1"/>
  <c r="O29" i="1"/>
  <c r="S30" i="1"/>
  <c r="O32" i="1"/>
  <c r="S34" i="1"/>
  <c r="O5" i="1"/>
  <c r="S7" i="1"/>
  <c r="O8" i="1"/>
  <c r="O11" i="1"/>
  <c r="S13" i="1"/>
  <c r="O15" i="1"/>
  <c r="S17" i="1"/>
  <c r="O19" i="1"/>
  <c r="S21" i="1"/>
  <c r="O23" i="1"/>
  <c r="S25" i="1"/>
  <c r="O27" i="1"/>
  <c r="AH7" i="1"/>
  <c r="AH37" i="1" s="1"/>
  <c r="AF45" i="1" l="1"/>
  <c r="O37" i="1"/>
  <c r="I3" i="4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E34" i="2"/>
  <c r="G2" i="2"/>
  <c r="S37" i="1"/>
  <c r="AE37" i="1"/>
  <c r="I15" i="4" l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H2" i="2"/>
  <c r="H34" i="2" s="1"/>
  <c r="G34" i="2"/>
  <c r="I34" i="4" l="1"/>
</calcChain>
</file>

<file path=xl/sharedStrings.xml><?xml version="1.0" encoding="utf-8"?>
<sst xmlns="http://schemas.openxmlformats.org/spreadsheetml/2006/main" count="187" uniqueCount="48">
  <si>
    <t>KOVAI KONGU MESS (FIRST FLOOR)</t>
  </si>
  <si>
    <t>KOVAI KONGU MESS (GROUND FLOOR)</t>
  </si>
  <si>
    <t>Date</t>
  </si>
  <si>
    <t>Day</t>
  </si>
  <si>
    <t>CASH</t>
  </si>
  <si>
    <t>Expenses</t>
  </si>
  <si>
    <t>PAYTM</t>
  </si>
  <si>
    <t>Phonepe</t>
  </si>
  <si>
    <t>Swiggy</t>
  </si>
  <si>
    <t>N. Swiggy</t>
  </si>
  <si>
    <t>Zomato</t>
  </si>
  <si>
    <t>N. Zomato</t>
  </si>
  <si>
    <t>MP</t>
  </si>
  <si>
    <t>Credit</t>
  </si>
  <si>
    <t>Day Total</t>
  </si>
  <si>
    <t>Grand Total</t>
  </si>
  <si>
    <t>Sales</t>
  </si>
  <si>
    <t>Adv. / Misc.</t>
  </si>
  <si>
    <t>Differ.</t>
  </si>
  <si>
    <t>GF</t>
  </si>
  <si>
    <t>Total</t>
  </si>
  <si>
    <t>Differ</t>
  </si>
  <si>
    <t>Wed</t>
  </si>
  <si>
    <t>Thu</t>
  </si>
  <si>
    <t>Fri</t>
  </si>
  <si>
    <t>Sat</t>
  </si>
  <si>
    <t>Sun</t>
  </si>
  <si>
    <t>Mon</t>
  </si>
  <si>
    <t>Tue</t>
  </si>
  <si>
    <t>Avg/Day</t>
  </si>
  <si>
    <t>Total Petpooja Sales</t>
  </si>
  <si>
    <t>Avg. Per Day</t>
  </si>
  <si>
    <t>KKM (F.F)</t>
  </si>
  <si>
    <t>KKM (G.F)</t>
  </si>
  <si>
    <t>Credited in Bank</t>
  </si>
  <si>
    <t>Commission / Charges</t>
  </si>
  <si>
    <t>%</t>
  </si>
  <si>
    <t>KKM(F.F) Net Cash</t>
  </si>
  <si>
    <t>KKM (G.F) Net Cash</t>
  </si>
  <si>
    <t>Party Order Income</t>
  </si>
  <si>
    <t>Rare/ Spl Cash Exps.</t>
  </si>
  <si>
    <t>Total Cash to Deposit</t>
  </si>
  <si>
    <t>Deposited in Bank</t>
  </si>
  <si>
    <t>Running Bal to Deposit</t>
  </si>
  <si>
    <t>Ownly</t>
  </si>
  <si>
    <t>Swayo</t>
  </si>
  <si>
    <t>YH</t>
  </si>
  <si>
    <t>Approx. Projection for Sep'2026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</si>
</sst>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[$-409]d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33CC33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/>
    <xf numFmtId="164" fontId="5" fillId="0" borderId="0" xfId="1" applyFont="1"/>
    <xf numFmtId="164" fontId="0" fillId="0" borderId="0" xfId="1" applyFont="1"/>
    <xf numFmtId="0" fontId="6" fillId="0" borderId="0" xfId="0" applyFont="1" applyAlignment="1">
      <alignment horizontal="center"/>
    </xf>
    <xf numFmtId="164" fontId="6" fillId="0" borderId="0" xfId="1" applyFont="1" applyAlignment="1">
      <alignment horizontal="center"/>
    </xf>
    <xf numFmtId="164" fontId="6" fillId="0" borderId="0" xfId="1" applyFont="1"/>
    <xf numFmtId="0" fontId="0" fillId="0" borderId="0" xfId="0" applyAlignment="1">
      <alignment horizontal="center"/>
    </xf>
    <xf numFmtId="164" fontId="7" fillId="0" borderId="0" xfId="1" applyFont="1"/>
    <xf numFmtId="164" fontId="3" fillId="0" borderId="0" xfId="1" applyFont="1"/>
    <xf numFmtId="164" fontId="0" fillId="0" borderId="0" xfId="1" applyFont="1" applyFill="1"/>
    <xf numFmtId="164" fontId="0" fillId="0" borderId="0" xfId="0" applyNumberFormat="1"/>
    <xf numFmtId="14" fontId="4" fillId="0" borderId="0" xfId="0" applyNumberFormat="1" applyFont="1" applyAlignment="1">
      <alignment horizontal="center"/>
    </xf>
    <xf numFmtId="0" fontId="4" fillId="0" borderId="0" xfId="0" applyFont="1"/>
    <xf numFmtId="164" fontId="4" fillId="0" borderId="0" xfId="0" applyNumberFormat="1" applyFont="1"/>
    <xf numFmtId="0" fontId="6" fillId="0" borderId="0" xfId="0" applyFont="1" applyAlignment="1">
      <alignment horizontal="left"/>
    </xf>
    <xf numFmtId="43" fontId="6" fillId="4" borderId="0" xfId="0" applyNumberFormat="1" applyFont="1" applyFill="1"/>
    <xf numFmtId="0" fontId="8" fillId="0" borderId="0" xfId="0" applyFont="1" applyAlignment="1">
      <alignment horizontal="left"/>
    </xf>
    <xf numFmtId="165" fontId="8" fillId="0" borderId="0" xfId="1" applyNumberFormat="1" applyFont="1" applyAlignment="1"/>
    <xf numFmtId="0" fontId="4" fillId="0" borderId="0" xfId="0" applyFont="1" applyAlignment="1">
      <alignment horizontal="left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5" borderId="0" xfId="1" applyFont="1" applyFill="1" applyAlignment="1">
      <alignment horizontal="center" vertical="center" wrapText="1"/>
    </xf>
    <xf numFmtId="164" fontId="2" fillId="6" borderId="0" xfId="1" applyFont="1" applyFill="1" applyAlignment="1">
      <alignment horizontal="center" vertical="center" wrapText="1"/>
    </xf>
    <xf numFmtId="10" fontId="0" fillId="0" borderId="0" xfId="2" applyNumberFormat="1" applyFont="1" applyAlignment="1">
      <alignment horizontal="center" vertical="center"/>
    </xf>
    <xf numFmtId="10" fontId="0" fillId="0" borderId="0" xfId="2" applyNumberFormat="1" applyFont="1"/>
    <xf numFmtId="164" fontId="4" fillId="0" borderId="0" xfId="1" applyFont="1"/>
    <xf numFmtId="9" fontId="0" fillId="0" borderId="0" xfId="2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2" fontId="4" fillId="0" borderId="0" xfId="0" applyNumberFormat="1" applyFont="1"/>
    <xf numFmtId="43" fontId="8" fillId="0" borderId="0" xfId="1" applyNumberFormat="1" applyFont="1"/>
    <xf numFmtId="0" fontId="0" fillId="0" borderId="0" xfId="0" applyFill="1"/>
    <xf numFmtId="16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0" fontId="0" fillId="0" borderId="0" xfId="2" applyNumberFormat="1" applyFont="1" applyFill="1"/>
    <xf numFmtId="0" fontId="3" fillId="0" borderId="0" xfId="0" applyFont="1" applyFill="1" applyAlignment="1">
      <alignment horizontal="center"/>
    </xf>
    <xf numFmtId="164" fontId="0" fillId="8" borderId="0" xfId="1" applyFont="1" applyFill="1"/>
    <xf numFmtId="2" fontId="0" fillId="0" borderId="0" xfId="0" applyNumberFormat="1" applyFill="1"/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5"/>
  <sheetViews>
    <sheetView tabSelected="1" workbookViewId="0">
      <pane xSplit="2" ySplit="3" topLeftCell="C26" activePane="bottomRight" state="frozen"/>
      <selection pane="topRight" activeCell="C1" sqref="C1"/>
      <selection pane="bottomLeft" activeCell="A4" sqref="A4"/>
      <selection pane="bottomRight" activeCell="AH13" sqref="AH13"/>
    </sheetView>
  </sheetViews>
  <sheetFormatPr defaultRowHeight="14.5" x14ac:dyDescent="0.35"/>
  <cols>
    <col min="1" max="1" width="10.36328125" style="8" customWidth="1"/>
    <col min="3" max="4" width="10.1796875" bestFit="1" customWidth="1"/>
    <col min="5" max="5" width="11.7265625" bestFit="1" customWidth="1"/>
    <col min="6" max="6" width="12.7265625" bestFit="1" customWidth="1"/>
    <col min="7" max="7" width="11.7265625" bestFit="1" customWidth="1"/>
    <col min="8" max="8" width="10.7265625" bestFit="1" customWidth="1"/>
    <col min="9" max="9" width="11.7265625" bestFit="1" customWidth="1"/>
    <col min="10" max="10" width="10.7265625" bestFit="1" customWidth="1"/>
    <col min="11" max="12" width="10.36328125" customWidth="1"/>
    <col min="13" max="13" width="10.08984375" bestFit="1" customWidth="1"/>
    <col min="14" max="14" width="8.26953125" bestFit="1" customWidth="1"/>
    <col min="15" max="17" width="12.7265625" bestFit="1" customWidth="1"/>
    <col min="18" max="18" width="10.6328125" bestFit="1" customWidth="1"/>
    <col min="19" max="19" width="10.81640625" bestFit="1" customWidth="1"/>
    <col min="21" max="22" width="10.1796875" bestFit="1" customWidth="1"/>
    <col min="23" max="23" width="11.1796875" bestFit="1" customWidth="1"/>
    <col min="24" max="24" width="12.7265625" bestFit="1" customWidth="1"/>
    <col min="25" max="25" width="6.36328125" bestFit="1" customWidth="1"/>
    <col min="26" max="26" width="7.36328125" bestFit="1" customWidth="1"/>
    <col min="27" max="27" width="4.7265625" bestFit="1" customWidth="1"/>
    <col min="28" max="28" width="7.36328125" customWidth="1"/>
    <col min="29" max="29" width="7.6328125" bestFit="1" customWidth="1"/>
    <col min="30" max="30" width="9.1796875" bestFit="1" customWidth="1"/>
    <col min="31" max="32" width="12.7265625" bestFit="1" customWidth="1"/>
    <col min="33" max="33" width="10.6328125" bestFit="1" customWidth="1"/>
    <col min="34" max="34" width="10.1796875" bestFit="1" customWidth="1"/>
    <col min="35" max="35" width="9.08984375" bestFit="1" customWidth="1"/>
  </cols>
  <sheetData>
    <row r="1" spans="1:38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F1" s="2"/>
      <c r="AG1" s="2"/>
      <c r="AH1" s="4"/>
      <c r="AI1" s="2"/>
      <c r="AJ1" s="2"/>
    </row>
    <row r="2" spans="1:38" x14ac:dyDescent="0.35">
      <c r="A2" s="1"/>
      <c r="B2" s="1"/>
      <c r="C2" s="46" t="s">
        <v>0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1"/>
      <c r="U2" s="47" t="s">
        <v>1</v>
      </c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2"/>
      <c r="AJ2" s="2"/>
    </row>
    <row r="3" spans="1:38" x14ac:dyDescent="0.3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44</v>
      </c>
      <c r="L3" s="5" t="s">
        <v>45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6" t="s">
        <v>18</v>
      </c>
      <c r="T3" s="5"/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10</v>
      </c>
      <c r="AA3" s="5" t="s">
        <v>19</v>
      </c>
      <c r="AB3" s="5" t="s">
        <v>12</v>
      </c>
      <c r="AC3" s="5" t="s">
        <v>46</v>
      </c>
      <c r="AD3" s="5" t="s">
        <v>13</v>
      </c>
      <c r="AE3" s="5" t="s">
        <v>20</v>
      </c>
      <c r="AF3" s="5" t="s">
        <v>16</v>
      </c>
      <c r="AG3" s="5" t="s">
        <v>17</v>
      </c>
      <c r="AH3" s="7" t="s">
        <v>21</v>
      </c>
      <c r="AI3" s="5"/>
      <c r="AJ3" s="5"/>
    </row>
    <row r="4" spans="1:38" x14ac:dyDescent="0.35">
      <c r="A4" s="21">
        <v>46266</v>
      </c>
      <c r="B4" s="8" t="s">
        <v>28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>
        <f>P4-H4-J4</f>
        <v>0</v>
      </c>
      <c r="P4" s="4">
        <f>SUM(C4:N4)</f>
        <v>0</v>
      </c>
      <c r="Q4" s="11"/>
      <c r="R4" s="4"/>
      <c r="S4" s="9">
        <f t="shared" ref="S4:S6" si="0">P4-Q4-R4</f>
        <v>0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>
        <f>SUM(U4:AD4)</f>
        <v>0</v>
      </c>
      <c r="AF4" s="4"/>
      <c r="AG4" s="4">
        <v>0</v>
      </c>
      <c r="AH4" s="3">
        <f t="shared" ref="AH4:AH27" si="1">AE4-AF4</f>
        <v>0</v>
      </c>
      <c r="AI4" s="4"/>
      <c r="AJ4" s="4"/>
      <c r="AK4" s="4"/>
      <c r="AL4" s="4"/>
    </row>
    <row r="5" spans="1:38" x14ac:dyDescent="0.35">
      <c r="A5" s="21">
        <v>46267</v>
      </c>
      <c r="B5" s="8" t="s">
        <v>22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>
        <f t="shared" ref="O5:O29" si="2">P5-H5-J5</f>
        <v>0</v>
      </c>
      <c r="P5" s="4">
        <f t="shared" ref="P5:P34" si="3">SUM(C5:N5)</f>
        <v>0</v>
      </c>
      <c r="Q5" s="11"/>
      <c r="R5" s="4"/>
      <c r="S5" s="9">
        <f t="shared" si="0"/>
        <v>0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>
        <f t="shared" ref="AE5:AE33" si="4">SUM(U5:AD5)</f>
        <v>0</v>
      </c>
      <c r="AF5" s="4"/>
      <c r="AG5" s="4">
        <v>0</v>
      </c>
      <c r="AH5" s="3">
        <f t="shared" si="1"/>
        <v>0</v>
      </c>
      <c r="AI5" s="4"/>
      <c r="AJ5" s="4"/>
      <c r="AK5" s="4"/>
      <c r="AL5" s="4"/>
    </row>
    <row r="6" spans="1:38" x14ac:dyDescent="0.35">
      <c r="A6" s="21">
        <v>46268</v>
      </c>
      <c r="B6" s="8" t="s">
        <v>23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>
        <f t="shared" si="2"/>
        <v>0</v>
      </c>
      <c r="P6" s="4">
        <f t="shared" si="3"/>
        <v>0</v>
      </c>
      <c r="Q6" s="11"/>
      <c r="R6" s="3"/>
      <c r="S6" s="3">
        <f t="shared" si="0"/>
        <v>0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>
        <f t="shared" si="4"/>
        <v>0</v>
      </c>
      <c r="AF6" s="4"/>
      <c r="AG6" s="4">
        <v>0</v>
      </c>
      <c r="AH6" s="3">
        <f t="shared" si="1"/>
        <v>0</v>
      </c>
      <c r="AI6" s="4"/>
      <c r="AJ6" s="4"/>
      <c r="AK6" s="4"/>
      <c r="AL6" s="4"/>
    </row>
    <row r="7" spans="1:38" x14ac:dyDescent="0.35">
      <c r="A7" s="21">
        <v>46269</v>
      </c>
      <c r="B7" s="8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>
        <f t="shared" si="2"/>
        <v>0</v>
      </c>
      <c r="P7" s="4">
        <f t="shared" si="3"/>
        <v>0</v>
      </c>
      <c r="Q7" s="11"/>
      <c r="R7" s="3"/>
      <c r="S7" s="3">
        <f t="shared" ref="S7:S34" si="5">P7-Q7-R7</f>
        <v>0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>
        <f t="shared" si="4"/>
        <v>0</v>
      </c>
      <c r="AF7" s="4"/>
      <c r="AG7" s="4">
        <v>0</v>
      </c>
      <c r="AH7" s="3">
        <f t="shared" si="1"/>
        <v>0</v>
      </c>
      <c r="AI7" s="4"/>
      <c r="AJ7" s="4"/>
      <c r="AK7" s="4"/>
      <c r="AL7" s="4"/>
    </row>
    <row r="8" spans="1:38" x14ac:dyDescent="0.35">
      <c r="A8" s="21">
        <v>46270</v>
      </c>
      <c r="B8" s="8" t="s">
        <v>25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>
        <f t="shared" si="2"/>
        <v>0</v>
      </c>
      <c r="P8" s="4">
        <f t="shared" si="3"/>
        <v>0</v>
      </c>
      <c r="Q8" s="11"/>
      <c r="R8" s="3"/>
      <c r="S8" s="3">
        <f t="shared" si="5"/>
        <v>0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>
        <f t="shared" si="4"/>
        <v>0</v>
      </c>
      <c r="AF8" s="4"/>
      <c r="AG8" s="4">
        <v>0</v>
      </c>
      <c r="AH8" s="3">
        <f t="shared" si="1"/>
        <v>0</v>
      </c>
      <c r="AI8" s="4"/>
      <c r="AJ8" s="4"/>
      <c r="AK8" s="4"/>
      <c r="AL8" s="4"/>
    </row>
    <row r="9" spans="1:38" x14ac:dyDescent="0.35">
      <c r="A9" s="21">
        <v>46271</v>
      </c>
      <c r="B9" s="36" t="s">
        <v>26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>
        <f t="shared" si="2"/>
        <v>0</v>
      </c>
      <c r="P9" s="4">
        <f t="shared" si="3"/>
        <v>0</v>
      </c>
      <c r="Q9" s="11"/>
      <c r="R9" s="3"/>
      <c r="S9" s="3">
        <f t="shared" si="5"/>
        <v>0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>
        <f t="shared" si="4"/>
        <v>0</v>
      </c>
      <c r="AF9" s="4"/>
      <c r="AG9" s="4">
        <v>0</v>
      </c>
      <c r="AH9" s="3">
        <f t="shared" si="1"/>
        <v>0</v>
      </c>
      <c r="AI9" s="4"/>
      <c r="AJ9" s="4"/>
      <c r="AK9" s="4"/>
      <c r="AL9" s="4"/>
    </row>
    <row r="10" spans="1:38" x14ac:dyDescent="0.35">
      <c r="A10" s="21">
        <v>46272</v>
      </c>
      <c r="B10" s="8" t="s">
        <v>27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>
        <f t="shared" si="2"/>
        <v>0</v>
      </c>
      <c r="P10" s="4">
        <f t="shared" si="3"/>
        <v>0</v>
      </c>
      <c r="Q10" s="11"/>
      <c r="R10" s="3"/>
      <c r="S10" s="3">
        <f>P10-Q10-R10</f>
        <v>0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>
        <f t="shared" si="4"/>
        <v>0</v>
      </c>
      <c r="AF10" s="4"/>
      <c r="AG10" s="4">
        <v>0</v>
      </c>
      <c r="AH10" s="10">
        <f t="shared" si="1"/>
        <v>0</v>
      </c>
      <c r="AI10" s="4"/>
      <c r="AJ10" s="4"/>
      <c r="AK10" s="4"/>
      <c r="AL10" s="4"/>
    </row>
    <row r="11" spans="1:38" x14ac:dyDescent="0.35">
      <c r="A11" s="21">
        <v>46273</v>
      </c>
      <c r="B11" s="8" t="s">
        <v>28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>
        <f t="shared" si="2"/>
        <v>0</v>
      </c>
      <c r="P11" s="4">
        <f t="shared" si="3"/>
        <v>0</v>
      </c>
      <c r="Q11" s="11"/>
      <c r="R11" s="3"/>
      <c r="S11" s="3">
        <f t="shared" si="5"/>
        <v>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>
        <f t="shared" si="4"/>
        <v>0</v>
      </c>
      <c r="AF11" s="4"/>
      <c r="AG11" s="4">
        <v>0</v>
      </c>
      <c r="AH11" s="3">
        <f t="shared" si="1"/>
        <v>0</v>
      </c>
      <c r="AI11" s="4"/>
      <c r="AJ11" s="4"/>
      <c r="AK11" s="4"/>
      <c r="AL11" s="4"/>
    </row>
    <row r="12" spans="1:38" x14ac:dyDescent="0.35">
      <c r="A12" s="21">
        <v>46274</v>
      </c>
      <c r="B12" s="8" t="s">
        <v>22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>
        <f t="shared" si="2"/>
        <v>0</v>
      </c>
      <c r="P12" s="4">
        <f t="shared" si="3"/>
        <v>0</v>
      </c>
      <c r="Q12" s="11"/>
      <c r="R12" s="3"/>
      <c r="S12" s="3">
        <f t="shared" si="5"/>
        <v>0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>
        <f>SUM(U12:AD12)</f>
        <v>0</v>
      </c>
      <c r="AF12" s="4"/>
      <c r="AG12" s="4">
        <v>0</v>
      </c>
      <c r="AH12" s="3">
        <f t="shared" si="1"/>
        <v>0</v>
      </c>
      <c r="AI12" s="4"/>
      <c r="AJ12" s="4"/>
      <c r="AK12" s="4"/>
      <c r="AL12" s="4"/>
    </row>
    <row r="13" spans="1:38" x14ac:dyDescent="0.35">
      <c r="A13" s="21">
        <v>46275</v>
      </c>
      <c r="B13" s="8" t="s">
        <v>23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>
        <f>P13-H13-J13</f>
        <v>0</v>
      </c>
      <c r="P13" s="4">
        <f t="shared" si="3"/>
        <v>0</v>
      </c>
      <c r="Q13" s="11"/>
      <c r="R13" s="3"/>
      <c r="S13" s="3">
        <f t="shared" si="5"/>
        <v>0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>
        <f t="shared" si="4"/>
        <v>0</v>
      </c>
      <c r="AF13" s="4"/>
      <c r="AG13" s="4">
        <v>0</v>
      </c>
      <c r="AH13" s="3">
        <f t="shared" si="1"/>
        <v>0</v>
      </c>
      <c r="AI13" s="4"/>
      <c r="AJ13" s="4"/>
      <c r="AK13" s="4"/>
      <c r="AL13" s="4"/>
    </row>
    <row r="14" spans="1:38" x14ac:dyDescent="0.35">
      <c r="A14" s="21">
        <v>46276</v>
      </c>
      <c r="B14" s="8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>
        <f t="shared" si="2"/>
        <v>0</v>
      </c>
      <c r="P14" s="4">
        <f t="shared" si="3"/>
        <v>0</v>
      </c>
      <c r="Q14" s="11"/>
      <c r="R14" s="3"/>
      <c r="S14" s="3">
        <f t="shared" si="5"/>
        <v>0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>
        <f t="shared" si="4"/>
        <v>0</v>
      </c>
      <c r="AF14" s="4"/>
      <c r="AG14" s="4">
        <v>0</v>
      </c>
      <c r="AH14" s="3">
        <f t="shared" si="1"/>
        <v>0</v>
      </c>
      <c r="AI14" s="4"/>
      <c r="AJ14" s="4"/>
      <c r="AK14" s="4"/>
      <c r="AL14" s="4"/>
    </row>
    <row r="15" spans="1:38" x14ac:dyDescent="0.35">
      <c r="A15" s="21">
        <v>46277</v>
      </c>
      <c r="B15" s="8" t="s">
        <v>25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>
        <f t="shared" si="2"/>
        <v>0</v>
      </c>
      <c r="P15" s="4">
        <f t="shared" si="3"/>
        <v>0</v>
      </c>
      <c r="Q15" s="11"/>
      <c r="R15" s="3"/>
      <c r="S15" s="3">
        <f t="shared" si="5"/>
        <v>0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>
        <f t="shared" si="4"/>
        <v>0</v>
      </c>
      <c r="AF15" s="4"/>
      <c r="AG15" s="4">
        <v>0</v>
      </c>
      <c r="AH15" s="3">
        <f t="shared" si="1"/>
        <v>0</v>
      </c>
      <c r="AI15" s="4"/>
      <c r="AJ15" s="4"/>
      <c r="AK15" s="4"/>
      <c r="AL15" s="4"/>
    </row>
    <row r="16" spans="1:38" x14ac:dyDescent="0.35">
      <c r="A16" s="21">
        <v>46278</v>
      </c>
      <c r="B16" s="36" t="s">
        <v>26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>
        <f t="shared" si="2"/>
        <v>0</v>
      </c>
      <c r="P16" s="4">
        <f t="shared" si="3"/>
        <v>0</v>
      </c>
      <c r="Q16" s="11"/>
      <c r="R16" s="3"/>
      <c r="S16" s="3">
        <f t="shared" si="5"/>
        <v>0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>
        <f t="shared" si="4"/>
        <v>0</v>
      </c>
      <c r="AF16" s="4"/>
      <c r="AG16" s="4">
        <v>0</v>
      </c>
      <c r="AH16" s="3">
        <f t="shared" si="1"/>
        <v>0</v>
      </c>
      <c r="AI16" s="4"/>
      <c r="AJ16" s="4"/>
      <c r="AK16" s="4"/>
      <c r="AL16" s="4"/>
    </row>
    <row r="17" spans="1:38" x14ac:dyDescent="0.35">
      <c r="A17" s="21">
        <v>46279</v>
      </c>
      <c r="B17" s="8" t="s">
        <v>27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>
        <f t="shared" si="2"/>
        <v>0</v>
      </c>
      <c r="P17" s="4">
        <f t="shared" si="3"/>
        <v>0</v>
      </c>
      <c r="Q17" s="11"/>
      <c r="R17" s="3"/>
      <c r="S17" s="3">
        <f t="shared" si="5"/>
        <v>0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>
        <f t="shared" si="4"/>
        <v>0</v>
      </c>
      <c r="AF17" s="4"/>
      <c r="AG17" s="4">
        <v>0</v>
      </c>
      <c r="AH17" s="3">
        <f t="shared" si="1"/>
        <v>0</v>
      </c>
      <c r="AI17" s="4"/>
      <c r="AJ17" s="4"/>
      <c r="AK17" s="4"/>
      <c r="AL17" s="4"/>
    </row>
    <row r="18" spans="1:38" x14ac:dyDescent="0.35">
      <c r="A18" s="21">
        <v>46280</v>
      </c>
      <c r="B18" s="8" t="s">
        <v>28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>
        <f t="shared" si="2"/>
        <v>0</v>
      </c>
      <c r="P18" s="4">
        <f t="shared" si="3"/>
        <v>0</v>
      </c>
      <c r="Q18" s="11"/>
      <c r="R18" s="3"/>
      <c r="S18" s="3">
        <f t="shared" si="5"/>
        <v>0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>
        <f t="shared" si="4"/>
        <v>0</v>
      </c>
      <c r="AF18" s="4"/>
      <c r="AG18" s="4">
        <v>0</v>
      </c>
      <c r="AH18" s="3">
        <f t="shared" si="1"/>
        <v>0</v>
      </c>
      <c r="AI18" s="4"/>
      <c r="AJ18" s="4"/>
      <c r="AK18" s="4"/>
      <c r="AL18" s="4"/>
    </row>
    <row r="19" spans="1:38" x14ac:dyDescent="0.35">
      <c r="A19" s="21">
        <v>46281</v>
      </c>
      <c r="B19" s="8" t="s">
        <v>22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>
        <f t="shared" si="2"/>
        <v>0</v>
      </c>
      <c r="P19" s="4">
        <f t="shared" si="3"/>
        <v>0</v>
      </c>
      <c r="Q19" s="11"/>
      <c r="R19" s="3"/>
      <c r="S19" s="3">
        <f t="shared" si="5"/>
        <v>0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>
        <f t="shared" si="4"/>
        <v>0</v>
      </c>
      <c r="AF19" s="4"/>
      <c r="AG19" s="4">
        <v>0</v>
      </c>
      <c r="AH19" s="3">
        <f t="shared" si="1"/>
        <v>0</v>
      </c>
      <c r="AI19" s="4"/>
      <c r="AJ19" s="4"/>
      <c r="AK19" s="4"/>
      <c r="AL19" s="4"/>
    </row>
    <row r="20" spans="1:38" x14ac:dyDescent="0.35">
      <c r="A20" s="21">
        <v>46282</v>
      </c>
      <c r="B20" s="8" t="s">
        <v>23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>
        <f t="shared" si="2"/>
        <v>0</v>
      </c>
      <c r="P20" s="4">
        <f>SUM(C20:N20)</f>
        <v>0</v>
      </c>
      <c r="Q20" s="11"/>
      <c r="R20" s="3"/>
      <c r="S20" s="3">
        <f t="shared" si="5"/>
        <v>0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>
        <f t="shared" si="4"/>
        <v>0</v>
      </c>
      <c r="AF20" s="4"/>
      <c r="AG20" s="4">
        <v>0</v>
      </c>
      <c r="AH20" s="3">
        <f t="shared" si="1"/>
        <v>0</v>
      </c>
      <c r="AI20" s="4"/>
      <c r="AJ20" s="4"/>
      <c r="AK20" s="4"/>
      <c r="AL20" s="4"/>
    </row>
    <row r="21" spans="1:38" x14ac:dyDescent="0.35">
      <c r="A21" s="21">
        <v>46283</v>
      </c>
      <c r="B21" s="8" t="s">
        <v>24</v>
      </c>
      <c r="C21" s="4"/>
      <c r="D21" s="4"/>
      <c r="E21" s="4"/>
      <c r="F21" s="4"/>
      <c r="G21" s="4"/>
      <c r="H21" s="11"/>
      <c r="I21" s="11"/>
      <c r="J21" s="11"/>
      <c r="K21" s="4"/>
      <c r="L21" s="4"/>
      <c r="M21" s="11"/>
      <c r="N21" s="11"/>
      <c r="O21" s="11">
        <f>P21-H21-J21</f>
        <v>0</v>
      </c>
      <c r="P21" s="11">
        <f>SUM(C21:N21)</f>
        <v>0</v>
      </c>
      <c r="Q21" s="11"/>
      <c r="R21" s="3"/>
      <c r="S21" s="3">
        <f t="shared" si="5"/>
        <v>0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>
        <f t="shared" si="4"/>
        <v>0</v>
      </c>
      <c r="AF21" s="4"/>
      <c r="AG21" s="4">
        <v>0</v>
      </c>
      <c r="AH21" s="3">
        <f t="shared" si="1"/>
        <v>0</v>
      </c>
      <c r="AI21" s="4"/>
      <c r="AJ21" s="4"/>
      <c r="AK21" s="4"/>
      <c r="AL21" s="4"/>
    </row>
    <row r="22" spans="1:38" x14ac:dyDescent="0.35">
      <c r="A22" s="21">
        <v>46284</v>
      </c>
      <c r="B22" s="8" t="s">
        <v>25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>
        <f t="shared" si="2"/>
        <v>0</v>
      </c>
      <c r="P22" s="4">
        <f t="shared" si="3"/>
        <v>0</v>
      </c>
      <c r="Q22" s="11"/>
      <c r="R22" s="3"/>
      <c r="S22" s="3">
        <f t="shared" si="5"/>
        <v>0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>
        <f t="shared" si="4"/>
        <v>0</v>
      </c>
      <c r="AF22" s="4"/>
      <c r="AG22" s="4">
        <v>0</v>
      </c>
      <c r="AH22" s="3">
        <f t="shared" si="1"/>
        <v>0</v>
      </c>
      <c r="AI22" s="4"/>
      <c r="AJ22" s="4"/>
      <c r="AK22" s="4"/>
      <c r="AL22" s="4"/>
    </row>
    <row r="23" spans="1:38" x14ac:dyDescent="0.35">
      <c r="A23" s="21">
        <v>46285</v>
      </c>
      <c r="B23" s="36" t="s">
        <v>26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>
        <f t="shared" si="2"/>
        <v>0</v>
      </c>
      <c r="P23" s="4">
        <f t="shared" si="3"/>
        <v>0</v>
      </c>
      <c r="Q23" s="11"/>
      <c r="R23" s="3"/>
      <c r="S23" s="3">
        <f t="shared" si="5"/>
        <v>0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>
        <f t="shared" si="4"/>
        <v>0</v>
      </c>
      <c r="AF23" s="4"/>
      <c r="AG23" s="4">
        <v>0</v>
      </c>
      <c r="AH23" s="3">
        <f t="shared" si="1"/>
        <v>0</v>
      </c>
      <c r="AI23" s="4"/>
      <c r="AJ23" s="4"/>
      <c r="AK23" s="4"/>
      <c r="AL23" s="4"/>
    </row>
    <row r="24" spans="1:38" x14ac:dyDescent="0.35">
      <c r="A24" s="21">
        <v>46286</v>
      </c>
      <c r="B24" s="8" t="s">
        <v>27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>
        <f t="shared" si="2"/>
        <v>0</v>
      </c>
      <c r="P24" s="4">
        <f t="shared" si="3"/>
        <v>0</v>
      </c>
      <c r="Q24" s="4"/>
      <c r="R24" s="3"/>
      <c r="S24" s="3">
        <f t="shared" si="5"/>
        <v>0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>
        <f t="shared" si="4"/>
        <v>0</v>
      </c>
      <c r="AF24" s="4"/>
      <c r="AG24" s="4">
        <v>0</v>
      </c>
      <c r="AH24" s="3">
        <f t="shared" si="1"/>
        <v>0</v>
      </c>
      <c r="AI24" s="4"/>
      <c r="AJ24" s="4"/>
      <c r="AK24" s="4"/>
      <c r="AL24" s="4"/>
    </row>
    <row r="25" spans="1:38" x14ac:dyDescent="0.35">
      <c r="A25" s="21">
        <v>46287</v>
      </c>
      <c r="B25" s="8" t="s">
        <v>28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>
        <f t="shared" si="2"/>
        <v>0</v>
      </c>
      <c r="P25" s="4">
        <f t="shared" si="3"/>
        <v>0</v>
      </c>
      <c r="Q25" s="4"/>
      <c r="R25" s="3"/>
      <c r="S25" s="3">
        <f t="shared" si="5"/>
        <v>0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>
        <f t="shared" si="4"/>
        <v>0</v>
      </c>
      <c r="AF25" s="4"/>
      <c r="AG25" s="4">
        <v>0</v>
      </c>
      <c r="AH25" s="3">
        <f t="shared" si="1"/>
        <v>0</v>
      </c>
      <c r="AI25" s="4"/>
      <c r="AJ25" s="4"/>
      <c r="AK25" s="4"/>
      <c r="AL25" s="4"/>
    </row>
    <row r="26" spans="1:38" x14ac:dyDescent="0.35">
      <c r="A26" s="21">
        <v>46288</v>
      </c>
      <c r="B26" s="8" t="s">
        <v>22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>
        <f t="shared" si="2"/>
        <v>0</v>
      </c>
      <c r="P26" s="4">
        <f t="shared" si="3"/>
        <v>0</v>
      </c>
      <c r="Q26" s="4"/>
      <c r="R26" s="3"/>
      <c r="S26" s="3">
        <f t="shared" si="5"/>
        <v>0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>
        <f>SUM(U26:AD26)</f>
        <v>0</v>
      </c>
      <c r="AF26" s="4"/>
      <c r="AG26" s="4">
        <v>0</v>
      </c>
      <c r="AH26" s="3">
        <f t="shared" si="1"/>
        <v>0</v>
      </c>
      <c r="AI26" s="4"/>
      <c r="AJ26" s="4"/>
      <c r="AK26" s="4"/>
      <c r="AL26" s="4"/>
    </row>
    <row r="27" spans="1:38" x14ac:dyDescent="0.35">
      <c r="A27" s="21">
        <v>46289</v>
      </c>
      <c r="B27" s="8" t="s">
        <v>23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>
        <f t="shared" si="2"/>
        <v>0</v>
      </c>
      <c r="P27" s="4">
        <f t="shared" si="3"/>
        <v>0</v>
      </c>
      <c r="Q27" s="4"/>
      <c r="R27" s="3"/>
      <c r="S27" s="3">
        <f t="shared" si="5"/>
        <v>0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>
        <f t="shared" si="4"/>
        <v>0</v>
      </c>
      <c r="AF27" s="4"/>
      <c r="AG27" s="4">
        <v>0</v>
      </c>
      <c r="AH27" s="3">
        <f t="shared" si="1"/>
        <v>0</v>
      </c>
      <c r="AI27" s="4"/>
      <c r="AJ27" s="4"/>
      <c r="AK27" s="4"/>
      <c r="AL27" s="4"/>
    </row>
    <row r="28" spans="1:38" x14ac:dyDescent="0.35">
      <c r="A28" s="21">
        <v>46290</v>
      </c>
      <c r="B28" s="8" t="s">
        <v>24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>
        <f t="shared" si="2"/>
        <v>0</v>
      </c>
      <c r="P28" s="4">
        <f t="shared" si="3"/>
        <v>0</v>
      </c>
      <c r="Q28" s="4"/>
      <c r="R28" s="3"/>
      <c r="S28" s="3">
        <f t="shared" si="5"/>
        <v>0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>
        <f t="shared" si="4"/>
        <v>0</v>
      </c>
      <c r="AF28" s="4"/>
      <c r="AG28" s="4">
        <v>0</v>
      </c>
      <c r="AH28" s="3">
        <f t="shared" ref="AH28:AH34" si="6">AE28-AF28</f>
        <v>0</v>
      </c>
      <c r="AI28" s="4"/>
      <c r="AJ28" s="4"/>
      <c r="AK28" s="4"/>
      <c r="AL28" s="4"/>
    </row>
    <row r="29" spans="1:38" x14ac:dyDescent="0.35">
      <c r="A29" s="21">
        <v>46291</v>
      </c>
      <c r="B29" s="8" t="s">
        <v>25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>
        <f t="shared" si="2"/>
        <v>0</v>
      </c>
      <c r="P29" s="4">
        <f t="shared" si="3"/>
        <v>0</v>
      </c>
      <c r="Q29" s="4"/>
      <c r="R29" s="3"/>
      <c r="S29" s="3">
        <f>P29-Q29-R29</f>
        <v>0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>
        <f t="shared" si="4"/>
        <v>0</v>
      </c>
      <c r="AF29" s="4"/>
      <c r="AG29" s="4">
        <v>0</v>
      </c>
      <c r="AH29" s="3">
        <f t="shared" si="6"/>
        <v>0</v>
      </c>
      <c r="AI29" s="4"/>
      <c r="AJ29" s="4"/>
      <c r="AK29" s="4"/>
      <c r="AL29" s="4"/>
    </row>
    <row r="30" spans="1:38" x14ac:dyDescent="0.35">
      <c r="A30" s="21">
        <v>46292</v>
      </c>
      <c r="B30" s="36" t="s">
        <v>26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>
        <f>P30-H30-J30</f>
        <v>0</v>
      </c>
      <c r="P30" s="4">
        <f t="shared" si="3"/>
        <v>0</v>
      </c>
      <c r="Q30" s="4"/>
      <c r="R30" s="3"/>
      <c r="S30" s="3">
        <f t="shared" si="5"/>
        <v>0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>
        <f t="shared" si="4"/>
        <v>0</v>
      </c>
      <c r="AF30" s="4"/>
      <c r="AG30" s="4">
        <v>0</v>
      </c>
      <c r="AH30" s="3">
        <f t="shared" si="6"/>
        <v>0</v>
      </c>
      <c r="AI30" s="4"/>
      <c r="AJ30" s="4"/>
      <c r="AK30" s="4"/>
      <c r="AL30" s="4"/>
    </row>
    <row r="31" spans="1:38" x14ac:dyDescent="0.35">
      <c r="A31" s="21">
        <v>46293</v>
      </c>
      <c r="B31" s="8" t="s">
        <v>27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>
        <f>P31-H31-J31</f>
        <v>0</v>
      </c>
      <c r="P31" s="4">
        <f t="shared" si="3"/>
        <v>0</v>
      </c>
      <c r="Q31" s="4"/>
      <c r="R31" s="4"/>
      <c r="S31" s="9">
        <f t="shared" si="5"/>
        <v>0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>
        <f t="shared" si="4"/>
        <v>0</v>
      </c>
      <c r="AF31" s="4"/>
      <c r="AG31" s="4">
        <v>0</v>
      </c>
      <c r="AH31" s="3">
        <f t="shared" si="6"/>
        <v>0</v>
      </c>
      <c r="AI31" s="4"/>
      <c r="AJ31" s="4"/>
      <c r="AK31" s="4"/>
      <c r="AL31" s="4"/>
    </row>
    <row r="32" spans="1:38" x14ac:dyDescent="0.35">
      <c r="A32" s="21">
        <v>46294</v>
      </c>
      <c r="B32" s="8" t="s">
        <v>28</v>
      </c>
      <c r="C32" s="4"/>
      <c r="D32" s="4"/>
      <c r="E32" s="4"/>
      <c r="F32" s="4"/>
      <c r="G32" s="4"/>
      <c r="H32" s="12"/>
      <c r="I32" s="4"/>
      <c r="J32" s="12"/>
      <c r="K32" s="12"/>
      <c r="L32" s="12"/>
      <c r="M32" s="4"/>
      <c r="N32" s="4"/>
      <c r="O32" s="4">
        <f t="shared" ref="O32:O33" si="7">P32-H32-J32</f>
        <v>0</v>
      </c>
      <c r="P32" s="4">
        <f t="shared" si="3"/>
        <v>0</v>
      </c>
      <c r="Q32" s="4"/>
      <c r="R32" s="4"/>
      <c r="S32" s="9">
        <f>P32-Q32-R32</f>
        <v>0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>
        <f>SUM(U32:AD32)</f>
        <v>0</v>
      </c>
      <c r="AF32" s="4"/>
      <c r="AG32" s="4">
        <v>0</v>
      </c>
      <c r="AH32" s="3">
        <f t="shared" si="6"/>
        <v>0</v>
      </c>
    </row>
    <row r="33" spans="1:34" x14ac:dyDescent="0.35">
      <c r="A33" s="21">
        <v>46295</v>
      </c>
      <c r="B33" s="8" t="s">
        <v>22</v>
      </c>
      <c r="C33" s="4"/>
      <c r="D33" s="4"/>
      <c r="E33" s="4"/>
      <c r="F33" s="4"/>
      <c r="G33" s="4"/>
      <c r="H33" s="12"/>
      <c r="I33" s="4"/>
      <c r="J33" s="12"/>
      <c r="K33" s="12"/>
      <c r="L33" s="12"/>
      <c r="M33" s="4"/>
      <c r="N33" s="4"/>
      <c r="O33" s="4">
        <f t="shared" si="7"/>
        <v>0</v>
      </c>
      <c r="P33" s="4">
        <f t="shared" si="3"/>
        <v>0</v>
      </c>
      <c r="Q33" s="4"/>
      <c r="R33" s="4"/>
      <c r="S33" s="9">
        <f t="shared" si="5"/>
        <v>0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>
        <f t="shared" si="4"/>
        <v>0</v>
      </c>
      <c r="AF33" s="4"/>
      <c r="AG33" s="4">
        <v>0</v>
      </c>
      <c r="AH33" s="3">
        <f t="shared" si="6"/>
        <v>0</v>
      </c>
    </row>
    <row r="34" spans="1:34" x14ac:dyDescent="0.35">
      <c r="A34" s="21"/>
      <c r="B34" s="8"/>
      <c r="C34" s="4"/>
      <c r="D34" s="4"/>
      <c r="E34" s="4"/>
      <c r="F34" s="4"/>
      <c r="G34" s="4"/>
      <c r="H34" s="12"/>
      <c r="I34" s="4"/>
      <c r="J34" s="12"/>
      <c r="K34" s="12"/>
      <c r="L34" s="12"/>
      <c r="M34" s="4"/>
      <c r="N34" s="4"/>
      <c r="O34" s="4">
        <f>P34-H34-J34</f>
        <v>0</v>
      </c>
      <c r="P34" s="4">
        <f t="shared" si="3"/>
        <v>0</v>
      </c>
      <c r="Q34" s="12"/>
      <c r="R34" s="4"/>
      <c r="S34" s="9">
        <f t="shared" si="5"/>
        <v>0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>
        <f>SUM(U34:AD34)</f>
        <v>0</v>
      </c>
      <c r="AF34" s="4"/>
      <c r="AG34" s="4">
        <v>0</v>
      </c>
      <c r="AH34" s="3">
        <f t="shared" si="6"/>
        <v>0</v>
      </c>
    </row>
    <row r="35" spans="1:34" x14ac:dyDescent="0.35">
      <c r="A35" s="13"/>
      <c r="B35" s="14"/>
      <c r="O35" s="4"/>
      <c r="AH35" s="9"/>
    </row>
    <row r="36" spans="1:34" x14ac:dyDescent="0.35">
      <c r="A36" s="13"/>
      <c r="B36" s="14"/>
    </row>
    <row r="37" spans="1:34" s="14" customFormat="1" x14ac:dyDescent="0.35">
      <c r="A37" s="13"/>
      <c r="C37" s="15">
        <f>SUM(C4:C34)</f>
        <v>0</v>
      </c>
      <c r="D37" s="15">
        <f t="shared" ref="D37:AH37" si="8">SUM(D4:D34)</f>
        <v>0</v>
      </c>
      <c r="E37" s="15">
        <f t="shared" si="8"/>
        <v>0</v>
      </c>
      <c r="F37" s="15">
        <f t="shared" si="8"/>
        <v>0</v>
      </c>
      <c r="G37" s="15">
        <f t="shared" si="8"/>
        <v>0</v>
      </c>
      <c r="H37" s="15">
        <f t="shared" si="8"/>
        <v>0</v>
      </c>
      <c r="I37" s="15">
        <f t="shared" si="8"/>
        <v>0</v>
      </c>
      <c r="J37" s="15">
        <f t="shared" si="8"/>
        <v>0</v>
      </c>
      <c r="K37" s="15">
        <f t="shared" si="8"/>
        <v>0</v>
      </c>
      <c r="L37" s="15">
        <f t="shared" si="8"/>
        <v>0</v>
      </c>
      <c r="M37" s="15">
        <f t="shared" si="8"/>
        <v>0</v>
      </c>
      <c r="N37" s="15">
        <f t="shared" si="8"/>
        <v>0</v>
      </c>
      <c r="O37" s="15">
        <f t="shared" si="8"/>
        <v>0</v>
      </c>
      <c r="P37" s="15">
        <f t="shared" si="8"/>
        <v>0</v>
      </c>
      <c r="Q37" s="15">
        <f>SUM(Q4:Q34)</f>
        <v>0</v>
      </c>
      <c r="R37" s="15">
        <f t="shared" si="8"/>
        <v>0</v>
      </c>
      <c r="S37" s="15">
        <f t="shared" si="8"/>
        <v>0</v>
      </c>
      <c r="T37" s="15"/>
      <c r="U37" s="15">
        <f t="shared" si="8"/>
        <v>0</v>
      </c>
      <c r="V37" s="15">
        <f t="shared" si="8"/>
        <v>0</v>
      </c>
      <c r="W37" s="15">
        <f t="shared" si="8"/>
        <v>0</v>
      </c>
      <c r="X37" s="15">
        <f t="shared" si="8"/>
        <v>0</v>
      </c>
      <c r="Y37" s="15">
        <f t="shared" si="8"/>
        <v>0</v>
      </c>
      <c r="Z37" s="15">
        <f t="shared" si="8"/>
        <v>0</v>
      </c>
      <c r="AA37" s="15">
        <f t="shared" si="8"/>
        <v>0</v>
      </c>
      <c r="AB37" s="15">
        <f t="shared" si="8"/>
        <v>0</v>
      </c>
      <c r="AC37" s="15"/>
      <c r="AD37" s="15">
        <f t="shared" si="8"/>
        <v>0</v>
      </c>
      <c r="AE37" s="15">
        <f t="shared" si="8"/>
        <v>0</v>
      </c>
      <c r="AF37" s="15">
        <f t="shared" si="8"/>
        <v>0</v>
      </c>
      <c r="AG37" s="15">
        <f t="shared" si="8"/>
        <v>0</v>
      </c>
      <c r="AH37" s="15">
        <f t="shared" si="8"/>
        <v>0</v>
      </c>
    </row>
    <row r="40" spans="1:34" x14ac:dyDescent="0.35">
      <c r="O40" s="14" t="s">
        <v>29</v>
      </c>
      <c r="P40" s="14"/>
      <c r="Q40" s="37">
        <f>+Q37/20</f>
        <v>0</v>
      </c>
      <c r="AF40" s="15">
        <f>AF37/20</f>
        <v>0</v>
      </c>
    </row>
    <row r="41" spans="1:34" x14ac:dyDescent="0.35">
      <c r="AB41" s="16" t="s">
        <v>30</v>
      </c>
      <c r="AC41" s="16"/>
      <c r="AD41" s="16"/>
      <c r="AE41" s="16"/>
      <c r="AF41" s="17">
        <f>Q37+AF37</f>
        <v>0</v>
      </c>
    </row>
    <row r="43" spans="1:34" x14ac:dyDescent="0.35">
      <c r="AB43" s="16" t="s">
        <v>31</v>
      </c>
      <c r="AC43" s="16"/>
      <c r="AD43" s="18"/>
      <c r="AE43" s="18"/>
      <c r="AF43" s="19">
        <f>+AF41/20</f>
        <v>0</v>
      </c>
    </row>
    <row r="45" spans="1:34" x14ac:dyDescent="0.35">
      <c r="AB45" s="18" t="s">
        <v>47</v>
      </c>
      <c r="AC45" s="18"/>
      <c r="AD45" s="20"/>
      <c r="AE45" s="20"/>
      <c r="AF45" s="38">
        <f>AF43*30</f>
        <v>0</v>
      </c>
    </row>
  </sheetData>
  <mergeCells count="2">
    <mergeCell ref="C2:S2"/>
    <mergeCell ref="U2:AH2"/>
  </mergeCells>
  <phoneticPr fontId="9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1" sqref="J11"/>
    </sheetView>
  </sheetViews>
  <sheetFormatPr defaultRowHeight="14.5" x14ac:dyDescent="0.35"/>
  <cols>
    <col min="1" max="1" width="9.453125" bestFit="1" customWidth="1"/>
    <col min="3" max="3" width="11.7265625" bestFit="1" customWidth="1"/>
    <col min="4" max="4" width="10.1796875" bestFit="1" customWidth="1"/>
    <col min="5" max="6" width="11.7265625" bestFit="1" customWidth="1"/>
    <col min="7" max="7" width="10.1796875" bestFit="1" customWidth="1"/>
    <col min="8" max="8" width="7.81640625" bestFit="1" customWidth="1"/>
  </cols>
  <sheetData>
    <row r="1" spans="1:11" ht="58" x14ac:dyDescent="0.35">
      <c r="A1" s="5" t="s">
        <v>2</v>
      </c>
      <c r="B1" s="22" t="s">
        <v>3</v>
      </c>
      <c r="C1" s="23" t="s">
        <v>32</v>
      </c>
      <c r="D1" s="24" t="s">
        <v>33</v>
      </c>
      <c r="E1" s="25" t="s">
        <v>20</v>
      </c>
      <c r="F1" s="26" t="s">
        <v>34</v>
      </c>
      <c r="G1" s="27" t="s">
        <v>35</v>
      </c>
      <c r="H1" s="28" t="s">
        <v>36</v>
      </c>
    </row>
    <row r="2" spans="1:11" s="39" customFormat="1" x14ac:dyDescent="0.35">
      <c r="A2" s="40">
        <v>46266</v>
      </c>
      <c r="B2" s="41" t="s">
        <v>28</v>
      </c>
      <c r="C2" s="11">
        <f>Summary!E4</f>
        <v>0</v>
      </c>
      <c r="D2" s="11">
        <f>Summary!W4</f>
        <v>0</v>
      </c>
      <c r="E2" s="11">
        <f>C2+D2</f>
        <v>0</v>
      </c>
      <c r="F2" s="11"/>
      <c r="G2" s="11">
        <f>E2-F2</f>
        <v>0</v>
      </c>
      <c r="H2" s="42" t="e">
        <f>G2/E2</f>
        <v>#DIV/0!</v>
      </c>
    </row>
    <row r="3" spans="1:11" s="39" customFormat="1" x14ac:dyDescent="0.35">
      <c r="A3" s="40">
        <v>46267</v>
      </c>
      <c r="B3" s="41" t="s">
        <v>22</v>
      </c>
      <c r="C3" s="11">
        <f>Summary!E5</f>
        <v>0</v>
      </c>
      <c r="D3" s="11">
        <f>Summary!W5</f>
        <v>0</v>
      </c>
      <c r="E3" s="11">
        <f t="shared" ref="E3:E32" si="0">C3+D3</f>
        <v>0</v>
      </c>
      <c r="F3" s="11"/>
      <c r="G3" s="11">
        <f t="shared" ref="G3:G32" si="1">E3-F3</f>
        <v>0</v>
      </c>
      <c r="H3" s="42" t="e">
        <f t="shared" ref="H3:H32" si="2">G3/E3</f>
        <v>#DIV/0!</v>
      </c>
    </row>
    <row r="4" spans="1:11" s="39" customFormat="1" x14ac:dyDescent="0.35">
      <c r="A4" s="40">
        <v>46268</v>
      </c>
      <c r="B4" s="41" t="s">
        <v>23</v>
      </c>
      <c r="C4" s="11">
        <f>Summary!E6</f>
        <v>0</v>
      </c>
      <c r="D4" s="11">
        <f>Summary!W6</f>
        <v>0</v>
      </c>
      <c r="E4" s="11">
        <f t="shared" si="0"/>
        <v>0</v>
      </c>
      <c r="F4" s="11"/>
      <c r="G4" s="11">
        <f t="shared" si="1"/>
        <v>0</v>
      </c>
      <c r="H4" s="42" t="e">
        <f t="shared" si="2"/>
        <v>#DIV/0!</v>
      </c>
    </row>
    <row r="5" spans="1:11" s="39" customFormat="1" x14ac:dyDescent="0.35">
      <c r="A5" s="40">
        <v>46269</v>
      </c>
      <c r="B5" s="41" t="s">
        <v>24</v>
      </c>
      <c r="C5" s="11">
        <f>Summary!E7</f>
        <v>0</v>
      </c>
      <c r="D5" s="11">
        <f>Summary!W7</f>
        <v>0</v>
      </c>
      <c r="E5" s="11">
        <f t="shared" si="0"/>
        <v>0</v>
      </c>
      <c r="F5" s="11"/>
      <c r="G5" s="44">
        <f t="shared" si="1"/>
        <v>0</v>
      </c>
      <c r="H5" s="42" t="e">
        <f t="shared" si="2"/>
        <v>#DIV/0!</v>
      </c>
      <c r="K5" s="42"/>
    </row>
    <row r="6" spans="1:11" s="39" customFormat="1" x14ac:dyDescent="0.35">
      <c r="A6" s="40">
        <v>46270</v>
      </c>
      <c r="B6" s="41" t="s">
        <v>25</v>
      </c>
      <c r="C6" s="11">
        <f>Summary!E8</f>
        <v>0</v>
      </c>
      <c r="D6" s="11">
        <f>Summary!W8</f>
        <v>0</v>
      </c>
      <c r="E6" s="11">
        <f t="shared" si="0"/>
        <v>0</v>
      </c>
      <c r="G6" s="11">
        <f t="shared" si="1"/>
        <v>0</v>
      </c>
      <c r="H6" s="42" t="e">
        <f t="shared" si="2"/>
        <v>#DIV/0!</v>
      </c>
    </row>
    <row r="7" spans="1:11" s="39" customFormat="1" x14ac:dyDescent="0.35">
      <c r="A7" s="40">
        <v>46271</v>
      </c>
      <c r="B7" s="43" t="s">
        <v>26</v>
      </c>
      <c r="C7" s="11">
        <f>Summary!E9</f>
        <v>0</v>
      </c>
      <c r="D7" s="11">
        <f>Summary!W9</f>
        <v>0</v>
      </c>
      <c r="E7" s="11">
        <f t="shared" si="0"/>
        <v>0</v>
      </c>
      <c r="F7" s="11"/>
      <c r="G7" s="11">
        <f t="shared" si="1"/>
        <v>0</v>
      </c>
      <c r="H7" s="42" t="e">
        <f t="shared" si="2"/>
        <v>#DIV/0!</v>
      </c>
    </row>
    <row r="8" spans="1:11" s="39" customFormat="1" x14ac:dyDescent="0.35">
      <c r="A8" s="40">
        <v>46272</v>
      </c>
      <c r="B8" s="41" t="s">
        <v>27</v>
      </c>
      <c r="C8" s="11">
        <f>Summary!E10</f>
        <v>0</v>
      </c>
      <c r="D8" s="11">
        <f>Summary!W10</f>
        <v>0</v>
      </c>
      <c r="E8" s="11">
        <f t="shared" si="0"/>
        <v>0</v>
      </c>
      <c r="F8" s="11"/>
      <c r="G8" s="11">
        <f t="shared" si="1"/>
        <v>0</v>
      </c>
      <c r="H8" s="42" t="e">
        <f t="shared" si="2"/>
        <v>#DIV/0!</v>
      </c>
    </row>
    <row r="9" spans="1:11" s="39" customFormat="1" x14ac:dyDescent="0.35">
      <c r="A9" s="40">
        <v>46273</v>
      </c>
      <c r="B9" s="41" t="s">
        <v>28</v>
      </c>
      <c r="C9" s="11">
        <f>Summary!E11</f>
        <v>0</v>
      </c>
      <c r="D9" s="11">
        <f>Summary!W11</f>
        <v>0</v>
      </c>
      <c r="E9" s="11">
        <f t="shared" si="0"/>
        <v>0</v>
      </c>
      <c r="G9" s="11">
        <f t="shared" si="1"/>
        <v>0</v>
      </c>
      <c r="H9" s="42" t="e">
        <f t="shared" si="2"/>
        <v>#DIV/0!</v>
      </c>
    </row>
    <row r="10" spans="1:11" s="39" customFormat="1" x14ac:dyDescent="0.35">
      <c r="A10" s="40">
        <v>46274</v>
      </c>
      <c r="B10" s="41" t="s">
        <v>22</v>
      </c>
      <c r="C10" s="11">
        <f>Summary!E12</f>
        <v>0</v>
      </c>
      <c r="D10" s="11">
        <f>Summary!W12</f>
        <v>0</v>
      </c>
      <c r="E10" s="11">
        <f t="shared" si="0"/>
        <v>0</v>
      </c>
      <c r="F10" s="11"/>
      <c r="G10" s="11">
        <f t="shared" si="1"/>
        <v>0</v>
      </c>
      <c r="H10" s="42" t="e">
        <f t="shared" si="2"/>
        <v>#DIV/0!</v>
      </c>
    </row>
    <row r="11" spans="1:11" s="39" customFormat="1" x14ac:dyDescent="0.35">
      <c r="A11" s="40">
        <v>46275</v>
      </c>
      <c r="B11" s="41" t="s">
        <v>23</v>
      </c>
      <c r="C11" s="11">
        <f>Summary!E13</f>
        <v>0</v>
      </c>
      <c r="D11" s="11">
        <f>Summary!W13</f>
        <v>0</v>
      </c>
      <c r="E11" s="11">
        <f t="shared" si="0"/>
        <v>0</v>
      </c>
      <c r="F11" s="11"/>
      <c r="G11" s="11">
        <f t="shared" si="1"/>
        <v>0</v>
      </c>
      <c r="H11" s="42" t="e">
        <f t="shared" si="2"/>
        <v>#DIV/0!</v>
      </c>
    </row>
    <row r="12" spans="1:11" s="39" customFormat="1" x14ac:dyDescent="0.35">
      <c r="A12" s="40">
        <v>46276</v>
      </c>
      <c r="B12" s="41" t="s">
        <v>24</v>
      </c>
      <c r="C12" s="11">
        <f>Summary!E14</f>
        <v>0</v>
      </c>
      <c r="D12" s="11">
        <f>Summary!W14</f>
        <v>0</v>
      </c>
      <c r="E12" s="11">
        <f t="shared" si="0"/>
        <v>0</v>
      </c>
      <c r="G12" s="11">
        <f t="shared" si="1"/>
        <v>0</v>
      </c>
      <c r="H12" s="42" t="e">
        <f t="shared" si="2"/>
        <v>#DIV/0!</v>
      </c>
    </row>
    <row r="13" spans="1:11" s="39" customFormat="1" x14ac:dyDescent="0.35">
      <c r="A13" s="40">
        <v>46277</v>
      </c>
      <c r="B13" s="41" t="s">
        <v>25</v>
      </c>
      <c r="C13" s="11">
        <f>Summary!E15</f>
        <v>0</v>
      </c>
      <c r="D13" s="11">
        <f>Summary!W15</f>
        <v>0</v>
      </c>
      <c r="E13" s="11">
        <f t="shared" si="0"/>
        <v>0</v>
      </c>
      <c r="F13" s="11"/>
      <c r="G13" s="11">
        <f t="shared" si="1"/>
        <v>0</v>
      </c>
      <c r="H13" s="42" t="e">
        <f t="shared" si="2"/>
        <v>#DIV/0!</v>
      </c>
    </row>
    <row r="14" spans="1:11" s="39" customFormat="1" x14ac:dyDescent="0.35">
      <c r="A14" s="40">
        <v>46278</v>
      </c>
      <c r="B14" s="43" t="s">
        <v>26</v>
      </c>
      <c r="C14" s="11">
        <f>Summary!E16</f>
        <v>0</v>
      </c>
      <c r="D14" s="11">
        <f>Summary!W16</f>
        <v>0</v>
      </c>
      <c r="E14" s="11">
        <f t="shared" si="0"/>
        <v>0</v>
      </c>
      <c r="F14" s="11"/>
      <c r="G14" s="11">
        <f t="shared" si="1"/>
        <v>0</v>
      </c>
      <c r="H14" s="42" t="e">
        <f t="shared" si="2"/>
        <v>#DIV/0!</v>
      </c>
    </row>
    <row r="15" spans="1:11" s="39" customFormat="1" x14ac:dyDescent="0.35">
      <c r="A15" s="40">
        <v>46279</v>
      </c>
      <c r="B15" s="41" t="s">
        <v>27</v>
      </c>
      <c r="C15" s="11">
        <f>Summary!E17</f>
        <v>0</v>
      </c>
      <c r="D15" s="11">
        <f>Summary!W17</f>
        <v>0</v>
      </c>
      <c r="E15" s="11">
        <f t="shared" si="0"/>
        <v>0</v>
      </c>
      <c r="F15" s="11"/>
      <c r="G15" s="11">
        <f t="shared" si="1"/>
        <v>0</v>
      </c>
      <c r="H15" s="42" t="e">
        <f t="shared" si="2"/>
        <v>#DIV/0!</v>
      </c>
    </row>
    <row r="16" spans="1:11" s="39" customFormat="1" x14ac:dyDescent="0.35">
      <c r="A16" s="40">
        <v>46280</v>
      </c>
      <c r="B16" s="41" t="s">
        <v>28</v>
      </c>
      <c r="C16" s="11">
        <f>Summary!E18</f>
        <v>0</v>
      </c>
      <c r="D16" s="11">
        <f>Summary!W18</f>
        <v>0</v>
      </c>
      <c r="E16" s="11">
        <f t="shared" si="0"/>
        <v>0</v>
      </c>
      <c r="F16" s="11"/>
      <c r="G16" s="11">
        <f t="shared" si="1"/>
        <v>0</v>
      </c>
      <c r="H16" s="42" t="e">
        <f t="shared" si="2"/>
        <v>#DIV/0!</v>
      </c>
    </row>
    <row r="17" spans="1:8" s="39" customFormat="1" x14ac:dyDescent="0.35">
      <c r="A17" s="40">
        <v>46281</v>
      </c>
      <c r="B17" s="41" t="s">
        <v>22</v>
      </c>
      <c r="C17" s="11">
        <f>Summary!E19</f>
        <v>0</v>
      </c>
      <c r="D17" s="11">
        <f>Summary!W19</f>
        <v>0</v>
      </c>
      <c r="E17" s="11">
        <f t="shared" si="0"/>
        <v>0</v>
      </c>
      <c r="F17" s="11"/>
      <c r="G17" s="11">
        <f t="shared" si="1"/>
        <v>0</v>
      </c>
      <c r="H17" s="42" t="e">
        <f t="shared" si="2"/>
        <v>#DIV/0!</v>
      </c>
    </row>
    <row r="18" spans="1:8" s="39" customFormat="1" x14ac:dyDescent="0.35">
      <c r="A18" s="40">
        <v>46282</v>
      </c>
      <c r="B18" s="41" t="s">
        <v>23</v>
      </c>
      <c r="C18" s="11">
        <f>Summary!E20</f>
        <v>0</v>
      </c>
      <c r="D18" s="11">
        <f>Summary!W20</f>
        <v>0</v>
      </c>
      <c r="E18" s="11">
        <f t="shared" si="0"/>
        <v>0</v>
      </c>
      <c r="F18" s="11"/>
      <c r="G18" s="11">
        <f t="shared" si="1"/>
        <v>0</v>
      </c>
      <c r="H18" s="42" t="e">
        <f t="shared" si="2"/>
        <v>#DIV/0!</v>
      </c>
    </row>
    <row r="19" spans="1:8" s="39" customFormat="1" x14ac:dyDescent="0.35">
      <c r="A19" s="40">
        <v>46283</v>
      </c>
      <c r="B19" s="41" t="s">
        <v>24</v>
      </c>
      <c r="C19" s="11">
        <f>Summary!E21</f>
        <v>0</v>
      </c>
      <c r="D19" s="11">
        <f>Summary!W21</f>
        <v>0</v>
      </c>
      <c r="E19" s="11">
        <f t="shared" si="0"/>
        <v>0</v>
      </c>
      <c r="F19" s="11"/>
      <c r="G19" s="11">
        <f t="shared" si="1"/>
        <v>0</v>
      </c>
      <c r="H19" s="42" t="e">
        <f t="shared" si="2"/>
        <v>#DIV/0!</v>
      </c>
    </row>
    <row r="20" spans="1:8" s="39" customFormat="1" x14ac:dyDescent="0.35">
      <c r="A20" s="40">
        <v>46284</v>
      </c>
      <c r="B20" s="41" t="s">
        <v>25</v>
      </c>
      <c r="C20" s="11">
        <f>Summary!E22</f>
        <v>0</v>
      </c>
      <c r="D20" s="11">
        <f>Summary!W22</f>
        <v>0</v>
      </c>
      <c r="E20" s="11">
        <f t="shared" si="0"/>
        <v>0</v>
      </c>
      <c r="F20" s="11"/>
      <c r="G20" s="11">
        <f t="shared" si="1"/>
        <v>0</v>
      </c>
      <c r="H20" s="42" t="e">
        <f t="shared" si="2"/>
        <v>#DIV/0!</v>
      </c>
    </row>
    <row r="21" spans="1:8" x14ac:dyDescent="0.35">
      <c r="A21" s="21">
        <v>46285</v>
      </c>
      <c r="B21" s="36" t="s">
        <v>26</v>
      </c>
      <c r="C21" s="4">
        <f>Summary!E23</f>
        <v>0</v>
      </c>
      <c r="D21" s="4">
        <f>Summary!W23</f>
        <v>0</v>
      </c>
      <c r="E21" s="4">
        <f t="shared" si="0"/>
        <v>0</v>
      </c>
      <c r="F21" s="4"/>
      <c r="G21" s="4">
        <f t="shared" si="1"/>
        <v>0</v>
      </c>
      <c r="H21" s="29" t="e">
        <f t="shared" si="2"/>
        <v>#DIV/0!</v>
      </c>
    </row>
    <row r="22" spans="1:8" x14ac:dyDescent="0.35">
      <c r="A22" s="21">
        <v>46286</v>
      </c>
      <c r="B22" s="8" t="s">
        <v>27</v>
      </c>
      <c r="C22" s="4">
        <f>Summary!E24</f>
        <v>0</v>
      </c>
      <c r="D22" s="4">
        <f>Summary!W24</f>
        <v>0</v>
      </c>
      <c r="E22" s="4">
        <f t="shared" si="0"/>
        <v>0</v>
      </c>
      <c r="F22" s="4"/>
      <c r="G22" s="4">
        <f t="shared" si="1"/>
        <v>0</v>
      </c>
      <c r="H22" s="29" t="e">
        <f t="shared" si="2"/>
        <v>#DIV/0!</v>
      </c>
    </row>
    <row r="23" spans="1:8" x14ac:dyDescent="0.35">
      <c r="A23" s="21">
        <v>46287</v>
      </c>
      <c r="B23" s="8" t="s">
        <v>28</v>
      </c>
      <c r="C23" s="4">
        <f>Summary!E25</f>
        <v>0</v>
      </c>
      <c r="D23" s="4">
        <f>Summary!W25</f>
        <v>0</v>
      </c>
      <c r="E23" s="4">
        <f t="shared" si="0"/>
        <v>0</v>
      </c>
      <c r="F23" s="4"/>
      <c r="G23" s="4">
        <f t="shared" si="1"/>
        <v>0</v>
      </c>
      <c r="H23" s="29" t="e">
        <f t="shared" si="2"/>
        <v>#DIV/0!</v>
      </c>
    </row>
    <row r="24" spans="1:8" x14ac:dyDescent="0.35">
      <c r="A24" s="21">
        <v>46288</v>
      </c>
      <c r="B24" s="8" t="s">
        <v>22</v>
      </c>
      <c r="C24" s="4">
        <f>Summary!E26</f>
        <v>0</v>
      </c>
      <c r="D24" s="4">
        <f>Summary!W26</f>
        <v>0</v>
      </c>
      <c r="E24" s="4">
        <f t="shared" si="0"/>
        <v>0</v>
      </c>
      <c r="F24" s="4"/>
      <c r="G24" s="4">
        <f t="shared" si="1"/>
        <v>0</v>
      </c>
      <c r="H24" s="29" t="e">
        <f t="shared" si="2"/>
        <v>#DIV/0!</v>
      </c>
    </row>
    <row r="25" spans="1:8" x14ac:dyDescent="0.35">
      <c r="A25" s="21">
        <v>46289</v>
      </c>
      <c r="B25" s="8" t="s">
        <v>23</v>
      </c>
      <c r="C25" s="4">
        <f>Summary!E27</f>
        <v>0</v>
      </c>
      <c r="D25" s="4">
        <f>Summary!W27</f>
        <v>0</v>
      </c>
      <c r="E25" s="4">
        <f t="shared" si="0"/>
        <v>0</v>
      </c>
      <c r="F25" s="4"/>
      <c r="G25" s="4">
        <f t="shared" si="1"/>
        <v>0</v>
      </c>
      <c r="H25" s="29" t="e">
        <f t="shared" si="2"/>
        <v>#DIV/0!</v>
      </c>
    </row>
    <row r="26" spans="1:8" x14ac:dyDescent="0.35">
      <c r="A26" s="21">
        <v>46290</v>
      </c>
      <c r="B26" s="8" t="s">
        <v>24</v>
      </c>
      <c r="C26" s="4">
        <f>Summary!E28</f>
        <v>0</v>
      </c>
      <c r="D26" s="4">
        <f>Summary!W28</f>
        <v>0</v>
      </c>
      <c r="E26" s="4">
        <f t="shared" si="0"/>
        <v>0</v>
      </c>
      <c r="F26" s="4"/>
      <c r="G26" s="4">
        <f t="shared" si="1"/>
        <v>0</v>
      </c>
      <c r="H26" s="29" t="e">
        <f t="shared" si="2"/>
        <v>#DIV/0!</v>
      </c>
    </row>
    <row r="27" spans="1:8" x14ac:dyDescent="0.35">
      <c r="A27" s="21">
        <v>46291</v>
      </c>
      <c r="B27" s="8" t="s">
        <v>25</v>
      </c>
      <c r="C27" s="4">
        <f>Summary!E29</f>
        <v>0</v>
      </c>
      <c r="D27" s="4">
        <f>Summary!W29</f>
        <v>0</v>
      </c>
      <c r="E27" s="4">
        <f t="shared" si="0"/>
        <v>0</v>
      </c>
      <c r="F27" s="4"/>
      <c r="G27" s="4">
        <f t="shared" si="1"/>
        <v>0</v>
      </c>
      <c r="H27" s="29" t="e">
        <f t="shared" si="2"/>
        <v>#DIV/0!</v>
      </c>
    </row>
    <row r="28" spans="1:8" x14ac:dyDescent="0.35">
      <c r="A28" s="21">
        <v>46292</v>
      </c>
      <c r="B28" s="36" t="s">
        <v>26</v>
      </c>
      <c r="C28" s="4">
        <f>Summary!E30</f>
        <v>0</v>
      </c>
      <c r="D28" s="4">
        <f>Summary!W30</f>
        <v>0</v>
      </c>
      <c r="E28" s="4">
        <f t="shared" si="0"/>
        <v>0</v>
      </c>
      <c r="F28" s="4"/>
      <c r="G28" s="4">
        <f t="shared" si="1"/>
        <v>0</v>
      </c>
      <c r="H28" s="29" t="e">
        <f t="shared" si="2"/>
        <v>#DIV/0!</v>
      </c>
    </row>
    <row r="29" spans="1:8" x14ac:dyDescent="0.35">
      <c r="A29" s="21">
        <v>46293</v>
      </c>
      <c r="B29" s="8" t="s">
        <v>27</v>
      </c>
      <c r="C29" s="4">
        <f>Summary!E31</f>
        <v>0</v>
      </c>
      <c r="D29" s="4">
        <f>Summary!W31</f>
        <v>0</v>
      </c>
      <c r="E29" s="4">
        <f t="shared" si="0"/>
        <v>0</v>
      </c>
      <c r="F29" s="4"/>
      <c r="G29" s="4">
        <f t="shared" si="1"/>
        <v>0</v>
      </c>
      <c r="H29" s="29" t="e">
        <f t="shared" si="2"/>
        <v>#DIV/0!</v>
      </c>
    </row>
    <row r="30" spans="1:8" x14ac:dyDescent="0.35">
      <c r="A30" s="21">
        <v>46294</v>
      </c>
      <c r="B30" s="8" t="s">
        <v>28</v>
      </c>
      <c r="C30" s="4">
        <f>Summary!E32</f>
        <v>0</v>
      </c>
      <c r="D30" s="4">
        <f>Summary!W32</f>
        <v>0</v>
      </c>
      <c r="E30" s="4">
        <f t="shared" si="0"/>
        <v>0</v>
      </c>
      <c r="F30" s="4"/>
      <c r="G30" s="4">
        <f t="shared" si="1"/>
        <v>0</v>
      </c>
      <c r="H30" s="29" t="e">
        <f t="shared" si="2"/>
        <v>#DIV/0!</v>
      </c>
    </row>
    <row r="31" spans="1:8" x14ac:dyDescent="0.35">
      <c r="A31" s="21">
        <v>46295</v>
      </c>
      <c r="B31" s="8" t="s">
        <v>22</v>
      </c>
      <c r="C31" s="4">
        <f>Summary!E33</f>
        <v>0</v>
      </c>
      <c r="D31" s="4">
        <f>Summary!W33</f>
        <v>0</v>
      </c>
      <c r="E31" s="4">
        <f t="shared" si="0"/>
        <v>0</v>
      </c>
      <c r="F31" s="4"/>
      <c r="G31" s="4">
        <f t="shared" si="1"/>
        <v>0</v>
      </c>
      <c r="H31" s="29" t="e">
        <f t="shared" si="2"/>
        <v>#DIV/0!</v>
      </c>
    </row>
    <row r="32" spans="1:8" x14ac:dyDescent="0.35">
      <c r="A32" s="21">
        <v>46265</v>
      </c>
      <c r="B32" s="8" t="s">
        <v>27</v>
      </c>
      <c r="C32" s="4">
        <f>Summary!E34</f>
        <v>0</v>
      </c>
      <c r="D32" s="4">
        <f>Summary!W34</f>
        <v>0</v>
      </c>
      <c r="E32" s="4">
        <f t="shared" si="0"/>
        <v>0</v>
      </c>
      <c r="F32" s="4"/>
      <c r="G32" s="4">
        <f t="shared" si="1"/>
        <v>0</v>
      </c>
      <c r="H32" s="29" t="e">
        <f t="shared" si="2"/>
        <v>#DIV/0!</v>
      </c>
    </row>
    <row r="33" spans="1:8" x14ac:dyDescent="0.35">
      <c r="A33" s="14"/>
      <c r="C33" s="4"/>
      <c r="D33" s="4"/>
      <c r="E33" s="4"/>
      <c r="F33" s="4"/>
      <c r="G33" s="4"/>
      <c r="H33" s="4"/>
    </row>
    <row r="34" spans="1:8" s="14" customFormat="1" x14ac:dyDescent="0.35">
      <c r="C34" s="30">
        <f>SUM(C2:C33)</f>
        <v>0</v>
      </c>
      <c r="D34" s="30">
        <f t="shared" ref="D34:H34" si="3">SUM(D2:D33)</f>
        <v>0</v>
      </c>
      <c r="E34" s="30">
        <f t="shared" si="3"/>
        <v>0</v>
      </c>
      <c r="F34" s="30">
        <f t="shared" si="3"/>
        <v>0</v>
      </c>
      <c r="G34" s="30">
        <f t="shared" si="3"/>
        <v>0</v>
      </c>
      <c r="H34" s="30" t="e">
        <f t="shared" si="3"/>
        <v>#DIV/0!</v>
      </c>
    </row>
    <row r="35" spans="1:8" x14ac:dyDescent="0.35">
      <c r="C35" s="4"/>
      <c r="D35" s="4"/>
      <c r="E35" s="4"/>
      <c r="F35" s="4"/>
      <c r="G35" s="4"/>
      <c r="H35" s="4"/>
    </row>
    <row r="36" spans="1:8" x14ac:dyDescent="0.35">
      <c r="C36" s="4"/>
      <c r="D36" s="4"/>
      <c r="E36" s="4"/>
      <c r="F36" s="4"/>
      <c r="G36" s="4"/>
      <c r="H3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6" sqref="K6"/>
    </sheetView>
  </sheetViews>
  <sheetFormatPr defaultRowHeight="14.5" x14ac:dyDescent="0.35"/>
  <cols>
    <col min="1" max="1" width="9.26953125" customWidth="1"/>
    <col min="3" max="4" width="10.08984375" bestFit="1" customWidth="1"/>
    <col min="5" max="5" width="11.54296875" bestFit="1" customWidth="1"/>
    <col min="6" max="6" width="11.08984375" bestFit="1" customWidth="1"/>
    <col min="7" max="7" width="11.54296875" bestFit="1" customWidth="1"/>
  </cols>
  <sheetData>
    <row r="1" spans="1:8" ht="58" x14ac:dyDescent="0.35">
      <c r="A1" s="5" t="s">
        <v>2</v>
      </c>
      <c r="B1" s="22" t="s">
        <v>3</v>
      </c>
      <c r="C1" s="23" t="s">
        <v>32</v>
      </c>
      <c r="D1" s="24" t="s">
        <v>33</v>
      </c>
      <c r="E1" s="25" t="s">
        <v>20</v>
      </c>
      <c r="F1" s="26" t="s">
        <v>34</v>
      </c>
      <c r="G1" s="27" t="s">
        <v>35</v>
      </c>
      <c r="H1" s="31" t="s">
        <v>36</v>
      </c>
    </row>
    <row r="2" spans="1:8" s="39" customFormat="1" x14ac:dyDescent="0.35">
      <c r="A2" s="40">
        <v>46266</v>
      </c>
      <c r="B2" s="41" t="s">
        <v>28</v>
      </c>
      <c r="C2" s="11">
        <f>Summary!F4</f>
        <v>0</v>
      </c>
      <c r="D2" s="11">
        <f>Summary!X4</f>
        <v>0</v>
      </c>
      <c r="E2" s="11">
        <f>C2+D2</f>
        <v>0</v>
      </c>
      <c r="G2" s="11">
        <f>E2-F2</f>
        <v>0</v>
      </c>
      <c r="H2" s="42" t="e">
        <f>G2/E2</f>
        <v>#DIV/0!</v>
      </c>
    </row>
    <row r="3" spans="1:8" s="39" customFormat="1" x14ac:dyDescent="0.35">
      <c r="A3" s="40">
        <v>46267</v>
      </c>
      <c r="B3" s="41" t="s">
        <v>22</v>
      </c>
      <c r="C3" s="11">
        <f>Summary!F5</f>
        <v>0</v>
      </c>
      <c r="D3" s="11">
        <f>Summary!X5</f>
        <v>0</v>
      </c>
      <c r="E3" s="11">
        <f t="shared" ref="E3:E32" si="0">C3+D3</f>
        <v>0</v>
      </c>
      <c r="G3" s="11">
        <f t="shared" ref="G3:G32" si="1">E3-F3</f>
        <v>0</v>
      </c>
      <c r="H3" s="42" t="e">
        <f t="shared" ref="H3:H32" si="2">G3/E3</f>
        <v>#DIV/0!</v>
      </c>
    </row>
    <row r="4" spans="1:8" s="39" customFormat="1" x14ac:dyDescent="0.35">
      <c r="A4" s="40">
        <v>46268</v>
      </c>
      <c r="B4" s="41" t="s">
        <v>23</v>
      </c>
      <c r="C4" s="11">
        <f>Summary!F6</f>
        <v>0</v>
      </c>
      <c r="D4" s="11">
        <f>Summary!X6</f>
        <v>0</v>
      </c>
      <c r="E4" s="11">
        <f t="shared" si="0"/>
        <v>0</v>
      </c>
      <c r="G4" s="11">
        <f t="shared" si="1"/>
        <v>0</v>
      </c>
      <c r="H4" s="42" t="e">
        <f t="shared" si="2"/>
        <v>#DIV/0!</v>
      </c>
    </row>
    <row r="5" spans="1:8" s="39" customFormat="1" x14ac:dyDescent="0.35">
      <c r="A5" s="40">
        <v>46269</v>
      </c>
      <c r="B5" s="41" t="s">
        <v>24</v>
      </c>
      <c r="C5" s="11">
        <f>Summary!F7</f>
        <v>0</v>
      </c>
      <c r="D5" s="11">
        <f>Summary!X7</f>
        <v>0</v>
      </c>
      <c r="E5" s="11">
        <f t="shared" si="0"/>
        <v>0</v>
      </c>
      <c r="G5" s="11">
        <f t="shared" si="1"/>
        <v>0</v>
      </c>
      <c r="H5" s="42" t="e">
        <f t="shared" si="2"/>
        <v>#DIV/0!</v>
      </c>
    </row>
    <row r="6" spans="1:8" s="39" customFormat="1" x14ac:dyDescent="0.35">
      <c r="A6" s="40">
        <v>46270</v>
      </c>
      <c r="B6" s="41" t="s">
        <v>25</v>
      </c>
      <c r="C6" s="11">
        <f>Summary!F8</f>
        <v>0</v>
      </c>
      <c r="D6" s="11">
        <f>Summary!X8</f>
        <v>0</v>
      </c>
      <c r="E6" s="11">
        <f t="shared" si="0"/>
        <v>0</v>
      </c>
      <c r="G6" s="11">
        <f t="shared" si="1"/>
        <v>0</v>
      </c>
      <c r="H6" s="42" t="e">
        <f t="shared" si="2"/>
        <v>#DIV/0!</v>
      </c>
    </row>
    <row r="7" spans="1:8" s="39" customFormat="1" x14ac:dyDescent="0.35">
      <c r="A7" s="40">
        <v>46271</v>
      </c>
      <c r="B7" s="43" t="s">
        <v>26</v>
      </c>
      <c r="C7" s="11">
        <f>Summary!F9</f>
        <v>0</v>
      </c>
      <c r="D7" s="11">
        <f>Summary!X9</f>
        <v>0</v>
      </c>
      <c r="E7" s="11">
        <f t="shared" si="0"/>
        <v>0</v>
      </c>
      <c r="G7" s="11">
        <f t="shared" si="1"/>
        <v>0</v>
      </c>
      <c r="H7" s="42" t="e">
        <f t="shared" si="2"/>
        <v>#DIV/0!</v>
      </c>
    </row>
    <row r="8" spans="1:8" s="39" customFormat="1" x14ac:dyDescent="0.35">
      <c r="A8" s="40">
        <v>46272</v>
      </c>
      <c r="B8" s="41" t="s">
        <v>27</v>
      </c>
      <c r="C8" s="11">
        <f>Summary!F10</f>
        <v>0</v>
      </c>
      <c r="D8" s="11">
        <f>Summary!X10</f>
        <v>0</v>
      </c>
      <c r="E8" s="11">
        <f t="shared" si="0"/>
        <v>0</v>
      </c>
      <c r="G8" s="11">
        <f t="shared" si="1"/>
        <v>0</v>
      </c>
      <c r="H8" s="42" t="e">
        <f t="shared" si="2"/>
        <v>#DIV/0!</v>
      </c>
    </row>
    <row r="9" spans="1:8" s="39" customFormat="1" x14ac:dyDescent="0.35">
      <c r="A9" s="40">
        <v>46273</v>
      </c>
      <c r="B9" s="41" t="s">
        <v>28</v>
      </c>
      <c r="C9" s="11">
        <f>Summary!F11</f>
        <v>0</v>
      </c>
      <c r="D9" s="11">
        <f>Summary!X11</f>
        <v>0</v>
      </c>
      <c r="E9" s="11">
        <f t="shared" si="0"/>
        <v>0</v>
      </c>
      <c r="G9" s="11">
        <f t="shared" si="1"/>
        <v>0</v>
      </c>
      <c r="H9" s="42" t="e">
        <f t="shared" si="2"/>
        <v>#DIV/0!</v>
      </c>
    </row>
    <row r="10" spans="1:8" s="39" customFormat="1" x14ac:dyDescent="0.35">
      <c r="A10" s="40">
        <v>46274</v>
      </c>
      <c r="B10" s="41" t="s">
        <v>22</v>
      </c>
      <c r="C10" s="11">
        <f>Summary!F12</f>
        <v>0</v>
      </c>
      <c r="D10" s="11">
        <f>Summary!X12</f>
        <v>0</v>
      </c>
      <c r="E10" s="11">
        <f t="shared" si="0"/>
        <v>0</v>
      </c>
      <c r="G10" s="11">
        <f t="shared" si="1"/>
        <v>0</v>
      </c>
      <c r="H10" s="42" t="e">
        <f t="shared" si="2"/>
        <v>#DIV/0!</v>
      </c>
    </row>
    <row r="11" spans="1:8" s="39" customFormat="1" x14ac:dyDescent="0.35">
      <c r="A11" s="40">
        <v>46275</v>
      </c>
      <c r="B11" s="41" t="s">
        <v>23</v>
      </c>
      <c r="C11" s="11">
        <f>Summary!F13</f>
        <v>0</v>
      </c>
      <c r="D11" s="11">
        <f>Summary!X13</f>
        <v>0</v>
      </c>
      <c r="E11" s="11">
        <f t="shared" si="0"/>
        <v>0</v>
      </c>
      <c r="F11" s="11"/>
      <c r="G11" s="11">
        <f t="shared" si="1"/>
        <v>0</v>
      </c>
      <c r="H11" s="42" t="e">
        <f t="shared" si="2"/>
        <v>#DIV/0!</v>
      </c>
    </row>
    <row r="12" spans="1:8" s="39" customFormat="1" x14ac:dyDescent="0.35">
      <c r="A12" s="40">
        <v>46276</v>
      </c>
      <c r="B12" s="41" t="s">
        <v>24</v>
      </c>
      <c r="C12" s="11">
        <f>Summary!F14</f>
        <v>0</v>
      </c>
      <c r="D12" s="11">
        <f>Summary!X14</f>
        <v>0</v>
      </c>
      <c r="E12" s="11">
        <f t="shared" si="0"/>
        <v>0</v>
      </c>
      <c r="G12" s="11">
        <f t="shared" si="1"/>
        <v>0</v>
      </c>
      <c r="H12" s="42" t="e">
        <f t="shared" si="2"/>
        <v>#DIV/0!</v>
      </c>
    </row>
    <row r="13" spans="1:8" s="39" customFormat="1" x14ac:dyDescent="0.35">
      <c r="A13" s="40">
        <v>46277</v>
      </c>
      <c r="B13" s="41" t="s">
        <v>25</v>
      </c>
      <c r="C13" s="11">
        <f>Summary!F15</f>
        <v>0</v>
      </c>
      <c r="D13" s="11">
        <f>Summary!X15</f>
        <v>0</v>
      </c>
      <c r="E13" s="11">
        <f t="shared" si="0"/>
        <v>0</v>
      </c>
      <c r="G13" s="11">
        <f t="shared" si="1"/>
        <v>0</v>
      </c>
      <c r="H13" s="42" t="e">
        <f t="shared" si="2"/>
        <v>#DIV/0!</v>
      </c>
    </row>
    <row r="14" spans="1:8" s="39" customFormat="1" x14ac:dyDescent="0.35">
      <c r="A14" s="40">
        <v>46278</v>
      </c>
      <c r="B14" s="43" t="s">
        <v>26</v>
      </c>
      <c r="C14" s="11">
        <f>Summary!F16</f>
        <v>0</v>
      </c>
      <c r="D14" s="11">
        <f>Summary!X16</f>
        <v>0</v>
      </c>
      <c r="E14" s="11">
        <f t="shared" si="0"/>
        <v>0</v>
      </c>
      <c r="G14" s="11">
        <f t="shared" si="1"/>
        <v>0</v>
      </c>
      <c r="H14" s="42" t="e">
        <f t="shared" si="2"/>
        <v>#DIV/0!</v>
      </c>
    </row>
    <row r="15" spans="1:8" s="39" customFormat="1" x14ac:dyDescent="0.35">
      <c r="A15" s="40">
        <v>46279</v>
      </c>
      <c r="B15" s="41" t="s">
        <v>27</v>
      </c>
      <c r="C15" s="11">
        <f>Summary!F17</f>
        <v>0</v>
      </c>
      <c r="D15" s="11">
        <f>Summary!X17</f>
        <v>0</v>
      </c>
      <c r="E15" s="11">
        <f t="shared" si="0"/>
        <v>0</v>
      </c>
      <c r="G15" s="11">
        <f t="shared" si="1"/>
        <v>0</v>
      </c>
      <c r="H15" s="42" t="e">
        <f t="shared" si="2"/>
        <v>#DIV/0!</v>
      </c>
    </row>
    <row r="16" spans="1:8" s="39" customFormat="1" x14ac:dyDescent="0.35">
      <c r="A16" s="40">
        <v>46280</v>
      </c>
      <c r="B16" s="41" t="s">
        <v>28</v>
      </c>
      <c r="C16" s="11">
        <f>Summary!F18</f>
        <v>0</v>
      </c>
      <c r="D16" s="11">
        <f>Summary!X18</f>
        <v>0</v>
      </c>
      <c r="E16" s="11">
        <f t="shared" si="0"/>
        <v>0</v>
      </c>
      <c r="F16" s="45"/>
      <c r="G16" s="11">
        <f t="shared" si="1"/>
        <v>0</v>
      </c>
      <c r="H16" s="42" t="e">
        <f t="shared" si="2"/>
        <v>#DIV/0!</v>
      </c>
    </row>
    <row r="17" spans="1:8" s="39" customFormat="1" x14ac:dyDescent="0.35">
      <c r="A17" s="40">
        <v>46281</v>
      </c>
      <c r="B17" s="41" t="s">
        <v>22</v>
      </c>
      <c r="C17" s="11">
        <f>Summary!F19</f>
        <v>0</v>
      </c>
      <c r="D17" s="11">
        <f>Summary!X19</f>
        <v>0</v>
      </c>
      <c r="E17" s="11">
        <f t="shared" si="0"/>
        <v>0</v>
      </c>
      <c r="G17" s="11">
        <f>E17-F17</f>
        <v>0</v>
      </c>
      <c r="H17" s="42" t="e">
        <f t="shared" si="2"/>
        <v>#DIV/0!</v>
      </c>
    </row>
    <row r="18" spans="1:8" s="39" customFormat="1" x14ac:dyDescent="0.35">
      <c r="A18" s="40">
        <v>46282</v>
      </c>
      <c r="B18" s="41" t="s">
        <v>23</v>
      </c>
      <c r="C18" s="11">
        <f>Summary!F20</f>
        <v>0</v>
      </c>
      <c r="D18" s="11">
        <f>Summary!X20</f>
        <v>0</v>
      </c>
      <c r="E18" s="11">
        <f t="shared" si="0"/>
        <v>0</v>
      </c>
      <c r="G18" s="11">
        <f t="shared" si="1"/>
        <v>0</v>
      </c>
      <c r="H18" s="42" t="e">
        <f t="shared" si="2"/>
        <v>#DIV/0!</v>
      </c>
    </row>
    <row r="19" spans="1:8" s="39" customFormat="1" x14ac:dyDescent="0.35">
      <c r="A19" s="40">
        <v>46283</v>
      </c>
      <c r="B19" s="41" t="s">
        <v>24</v>
      </c>
      <c r="C19" s="11">
        <f>Summary!F21</f>
        <v>0</v>
      </c>
      <c r="D19" s="11">
        <f>Summary!X21</f>
        <v>0</v>
      </c>
      <c r="E19" s="11">
        <f t="shared" si="0"/>
        <v>0</v>
      </c>
      <c r="F19" s="11"/>
      <c r="G19" s="11">
        <f t="shared" si="1"/>
        <v>0</v>
      </c>
      <c r="H19" s="42" t="e">
        <f t="shared" si="2"/>
        <v>#DIV/0!</v>
      </c>
    </row>
    <row r="20" spans="1:8" s="39" customFormat="1" x14ac:dyDescent="0.35">
      <c r="A20" s="40">
        <v>46284</v>
      </c>
      <c r="B20" s="41" t="s">
        <v>25</v>
      </c>
      <c r="C20" s="11">
        <f>Summary!F22</f>
        <v>0</v>
      </c>
      <c r="D20" s="11">
        <f>Summary!X22</f>
        <v>0</v>
      </c>
      <c r="E20" s="11">
        <f t="shared" si="0"/>
        <v>0</v>
      </c>
      <c r="F20" s="11"/>
      <c r="G20" s="11">
        <f t="shared" si="1"/>
        <v>0</v>
      </c>
      <c r="H20" s="42" t="e">
        <f t="shared" si="2"/>
        <v>#DIV/0!</v>
      </c>
    </row>
    <row r="21" spans="1:8" s="39" customFormat="1" x14ac:dyDescent="0.35">
      <c r="A21" s="40">
        <v>46285</v>
      </c>
      <c r="B21" s="43" t="s">
        <v>26</v>
      </c>
      <c r="C21" s="11">
        <f>Summary!F23</f>
        <v>0</v>
      </c>
      <c r="D21" s="11">
        <f>Summary!X23</f>
        <v>0</v>
      </c>
      <c r="E21" s="11">
        <f t="shared" si="0"/>
        <v>0</v>
      </c>
      <c r="F21" s="11"/>
      <c r="G21" s="11">
        <f t="shared" si="1"/>
        <v>0</v>
      </c>
      <c r="H21" s="42" t="e">
        <f t="shared" si="2"/>
        <v>#DIV/0!</v>
      </c>
    </row>
    <row r="22" spans="1:8" s="39" customFormat="1" x14ac:dyDescent="0.35">
      <c r="A22" s="40">
        <v>46286</v>
      </c>
      <c r="B22" s="41" t="s">
        <v>27</v>
      </c>
      <c r="C22" s="11">
        <f>Summary!F24</f>
        <v>0</v>
      </c>
      <c r="D22" s="11">
        <f>Summary!X24</f>
        <v>0</v>
      </c>
      <c r="E22" s="11">
        <f t="shared" si="0"/>
        <v>0</v>
      </c>
      <c r="F22" s="11"/>
      <c r="G22" s="11">
        <f t="shared" si="1"/>
        <v>0</v>
      </c>
      <c r="H22" s="42" t="e">
        <f t="shared" si="2"/>
        <v>#DIV/0!</v>
      </c>
    </row>
    <row r="23" spans="1:8" x14ac:dyDescent="0.35">
      <c r="A23" s="21">
        <v>46287</v>
      </c>
      <c r="B23" s="8" t="s">
        <v>28</v>
      </c>
      <c r="C23" s="4">
        <f>Summary!F25</f>
        <v>0</v>
      </c>
      <c r="D23" s="4">
        <f>Summary!X25</f>
        <v>0</v>
      </c>
      <c r="E23" s="4">
        <f t="shared" si="0"/>
        <v>0</v>
      </c>
      <c r="F23" s="4"/>
      <c r="G23" s="4">
        <f t="shared" si="1"/>
        <v>0</v>
      </c>
      <c r="H23" s="29" t="e">
        <f t="shared" si="2"/>
        <v>#DIV/0!</v>
      </c>
    </row>
    <row r="24" spans="1:8" x14ac:dyDescent="0.35">
      <c r="A24" s="21">
        <v>46288</v>
      </c>
      <c r="B24" s="8" t="s">
        <v>22</v>
      </c>
      <c r="C24" s="4">
        <f>Summary!F26</f>
        <v>0</v>
      </c>
      <c r="D24" s="4">
        <f>Summary!X26</f>
        <v>0</v>
      </c>
      <c r="E24" s="4">
        <f t="shared" si="0"/>
        <v>0</v>
      </c>
      <c r="F24" s="4"/>
      <c r="G24" s="4">
        <f t="shared" si="1"/>
        <v>0</v>
      </c>
      <c r="H24" s="29" t="e">
        <f t="shared" si="2"/>
        <v>#DIV/0!</v>
      </c>
    </row>
    <row r="25" spans="1:8" x14ac:dyDescent="0.35">
      <c r="A25" s="21">
        <v>46289</v>
      </c>
      <c r="B25" s="8" t="s">
        <v>23</v>
      </c>
      <c r="C25" s="4">
        <f>Summary!F27</f>
        <v>0</v>
      </c>
      <c r="D25" s="4">
        <f>Summary!X27</f>
        <v>0</v>
      </c>
      <c r="E25" s="4">
        <f t="shared" si="0"/>
        <v>0</v>
      </c>
      <c r="F25" s="4"/>
      <c r="G25" s="4">
        <f t="shared" si="1"/>
        <v>0</v>
      </c>
      <c r="H25" s="29" t="e">
        <f t="shared" si="2"/>
        <v>#DIV/0!</v>
      </c>
    </row>
    <row r="26" spans="1:8" x14ac:dyDescent="0.35">
      <c r="A26" s="21">
        <v>46290</v>
      </c>
      <c r="B26" s="8" t="s">
        <v>24</v>
      </c>
      <c r="C26" s="4">
        <f>Summary!F28</f>
        <v>0</v>
      </c>
      <c r="D26" s="4">
        <f>Summary!X28</f>
        <v>0</v>
      </c>
      <c r="E26" s="4">
        <f t="shared" si="0"/>
        <v>0</v>
      </c>
      <c r="F26" s="4"/>
      <c r="G26" s="4">
        <f t="shared" si="1"/>
        <v>0</v>
      </c>
      <c r="H26" s="29" t="e">
        <f t="shared" si="2"/>
        <v>#DIV/0!</v>
      </c>
    </row>
    <row r="27" spans="1:8" x14ac:dyDescent="0.35">
      <c r="A27" s="21">
        <v>46291</v>
      </c>
      <c r="B27" s="8" t="s">
        <v>25</v>
      </c>
      <c r="C27" s="4">
        <f>Summary!F29</f>
        <v>0</v>
      </c>
      <c r="D27" s="4">
        <f>Summary!X29</f>
        <v>0</v>
      </c>
      <c r="E27" s="4">
        <f t="shared" si="0"/>
        <v>0</v>
      </c>
      <c r="F27" s="4"/>
      <c r="G27" s="4">
        <f t="shared" si="1"/>
        <v>0</v>
      </c>
      <c r="H27" s="29" t="e">
        <f t="shared" si="2"/>
        <v>#DIV/0!</v>
      </c>
    </row>
    <row r="28" spans="1:8" x14ac:dyDescent="0.35">
      <c r="A28" s="21">
        <v>46292</v>
      </c>
      <c r="B28" s="36" t="s">
        <v>26</v>
      </c>
      <c r="C28" s="4">
        <f>Summary!F30</f>
        <v>0</v>
      </c>
      <c r="D28" s="4">
        <f>Summary!X30</f>
        <v>0</v>
      </c>
      <c r="E28" s="4">
        <f t="shared" si="0"/>
        <v>0</v>
      </c>
      <c r="F28" s="4"/>
      <c r="G28" s="4">
        <f t="shared" si="1"/>
        <v>0</v>
      </c>
      <c r="H28" s="29" t="e">
        <f t="shared" si="2"/>
        <v>#DIV/0!</v>
      </c>
    </row>
    <row r="29" spans="1:8" x14ac:dyDescent="0.35">
      <c r="A29" s="21">
        <v>46293</v>
      </c>
      <c r="B29" s="8" t="s">
        <v>27</v>
      </c>
      <c r="C29" s="4">
        <f>Summary!F31</f>
        <v>0</v>
      </c>
      <c r="D29" s="4">
        <f>Summary!X31</f>
        <v>0</v>
      </c>
      <c r="E29" s="4">
        <f t="shared" si="0"/>
        <v>0</v>
      </c>
      <c r="F29" s="4"/>
      <c r="G29" s="4">
        <f t="shared" si="1"/>
        <v>0</v>
      </c>
      <c r="H29" s="29" t="e">
        <f t="shared" si="2"/>
        <v>#DIV/0!</v>
      </c>
    </row>
    <row r="30" spans="1:8" x14ac:dyDescent="0.35">
      <c r="A30" s="21">
        <v>46294</v>
      </c>
      <c r="B30" s="8" t="s">
        <v>28</v>
      </c>
      <c r="C30" s="4">
        <f>Summary!F32</f>
        <v>0</v>
      </c>
      <c r="D30" s="4">
        <f>Summary!X32</f>
        <v>0</v>
      </c>
      <c r="E30" s="4">
        <f t="shared" si="0"/>
        <v>0</v>
      </c>
      <c r="F30" s="4"/>
      <c r="G30" s="4">
        <f t="shared" si="1"/>
        <v>0</v>
      </c>
      <c r="H30" s="29" t="e">
        <f t="shared" si="2"/>
        <v>#DIV/0!</v>
      </c>
    </row>
    <row r="31" spans="1:8" x14ac:dyDescent="0.35">
      <c r="A31" s="21">
        <v>46295</v>
      </c>
      <c r="B31" s="8" t="s">
        <v>22</v>
      </c>
      <c r="C31" s="4">
        <f>Summary!F33</f>
        <v>0</v>
      </c>
      <c r="D31" s="4">
        <f>Summary!X33</f>
        <v>0</v>
      </c>
      <c r="E31" s="4">
        <f t="shared" si="0"/>
        <v>0</v>
      </c>
      <c r="F31" s="4"/>
      <c r="G31" s="4">
        <f t="shared" si="1"/>
        <v>0</v>
      </c>
      <c r="H31" s="29" t="e">
        <f t="shared" si="2"/>
        <v>#DIV/0!</v>
      </c>
    </row>
    <row r="32" spans="1:8" x14ac:dyDescent="0.35">
      <c r="A32" s="21">
        <v>46265</v>
      </c>
      <c r="B32" s="8" t="s">
        <v>27</v>
      </c>
      <c r="C32" s="4">
        <f>Summary!F34</f>
        <v>0</v>
      </c>
      <c r="D32" s="4">
        <f>Summary!X34</f>
        <v>0</v>
      </c>
      <c r="E32" s="4">
        <f t="shared" si="0"/>
        <v>0</v>
      </c>
      <c r="F32" s="4"/>
      <c r="G32" s="4">
        <f t="shared" si="1"/>
        <v>0</v>
      </c>
      <c r="H32" s="29" t="e">
        <f t="shared" si="2"/>
        <v>#DIV/0!</v>
      </c>
    </row>
  </sheetData>
  <pageMargins left="0.7" right="0.7" top="0.75" bottom="0.75" header="0.3" footer="0.3"/>
  <pageSetup paperSize="176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0" sqref="K10"/>
    </sheetView>
  </sheetViews>
  <sheetFormatPr defaultRowHeight="14.5" x14ac:dyDescent="0.35"/>
  <cols>
    <col min="1" max="1" width="9.453125" bestFit="1" customWidth="1"/>
    <col min="3" max="4" width="10.1796875" bestFit="1" customWidth="1"/>
    <col min="5" max="5" width="10.08984375" bestFit="1" customWidth="1"/>
    <col min="6" max="6" width="11.7265625" bestFit="1" customWidth="1"/>
    <col min="7" max="7" width="11.1796875" bestFit="1" customWidth="1"/>
    <col min="8" max="8" width="9.36328125" bestFit="1" customWidth="1"/>
    <col min="9" max="9" width="12.7265625" bestFit="1" customWidth="1"/>
    <col min="10" max="10" width="10.7265625" bestFit="1" customWidth="1"/>
    <col min="11" max="11" width="10.08984375" bestFit="1" customWidth="1"/>
    <col min="13" max="13" width="10.08984375" bestFit="1" customWidth="1"/>
  </cols>
  <sheetData>
    <row r="1" spans="1:11" ht="43.5" x14ac:dyDescent="0.35">
      <c r="A1" s="32" t="s">
        <v>2</v>
      </c>
      <c r="B1" s="25" t="s">
        <v>3</v>
      </c>
      <c r="C1" s="23" t="s">
        <v>37</v>
      </c>
      <c r="D1" s="24" t="s">
        <v>38</v>
      </c>
      <c r="E1" s="33" t="s">
        <v>39</v>
      </c>
      <c r="F1" s="34" t="s">
        <v>40</v>
      </c>
      <c r="G1" s="25" t="s">
        <v>41</v>
      </c>
      <c r="H1" s="35" t="s">
        <v>42</v>
      </c>
      <c r="I1" s="25" t="s">
        <v>43</v>
      </c>
    </row>
    <row r="2" spans="1:11" x14ac:dyDescent="0.35">
      <c r="A2" s="21">
        <v>46266</v>
      </c>
      <c r="B2" s="8" t="s">
        <v>28</v>
      </c>
      <c r="C2" s="4">
        <f>Summary!C4</f>
        <v>0</v>
      </c>
      <c r="D2" s="4">
        <f>Summary!U4</f>
        <v>0</v>
      </c>
      <c r="E2" s="4">
        <v>0</v>
      </c>
      <c r="F2" s="4">
        <v>0</v>
      </c>
      <c r="G2" s="4">
        <f>C2+D2</f>
        <v>0</v>
      </c>
      <c r="H2" s="4"/>
      <c r="I2" s="4">
        <f>0+G2</f>
        <v>0</v>
      </c>
      <c r="J2" s="4"/>
      <c r="K2" s="12"/>
    </row>
    <row r="3" spans="1:11" x14ac:dyDescent="0.35">
      <c r="A3" s="21">
        <v>46267</v>
      </c>
      <c r="B3" s="8" t="s">
        <v>22</v>
      </c>
      <c r="C3" s="4">
        <f>Summary!C5</f>
        <v>0</v>
      </c>
      <c r="D3" s="4">
        <f>Summary!U5</f>
        <v>0</v>
      </c>
      <c r="E3" s="4"/>
      <c r="F3" s="4"/>
      <c r="G3" s="4">
        <f t="shared" ref="G3:G32" si="0">C3+D3</f>
        <v>0</v>
      </c>
      <c r="H3" s="4"/>
      <c r="I3" s="4">
        <f>I2+G3+E3-F3-H3</f>
        <v>0</v>
      </c>
      <c r="J3" s="4"/>
    </row>
    <row r="4" spans="1:11" x14ac:dyDescent="0.35">
      <c r="A4" s="21">
        <v>46268</v>
      </c>
      <c r="B4" s="8" t="s">
        <v>23</v>
      </c>
      <c r="C4" s="4">
        <f>Summary!C6</f>
        <v>0</v>
      </c>
      <c r="D4" s="4">
        <f>Summary!U6</f>
        <v>0</v>
      </c>
      <c r="E4" s="4"/>
      <c r="F4" s="4"/>
      <c r="G4" s="4">
        <f t="shared" si="0"/>
        <v>0</v>
      </c>
      <c r="H4" s="4"/>
      <c r="I4" s="4">
        <f t="shared" ref="I4:I32" si="1">I3+G4+E4-F4-H4</f>
        <v>0</v>
      </c>
      <c r="J4" s="4"/>
    </row>
    <row r="5" spans="1:11" x14ac:dyDescent="0.35">
      <c r="A5" s="21">
        <v>46269</v>
      </c>
      <c r="B5" s="8" t="s">
        <v>24</v>
      </c>
      <c r="C5" s="4">
        <f>Summary!C7</f>
        <v>0</v>
      </c>
      <c r="D5" s="4">
        <f>Summary!U7</f>
        <v>0</v>
      </c>
      <c r="E5" s="4"/>
      <c r="F5" s="4"/>
      <c r="G5" s="4">
        <f t="shared" si="0"/>
        <v>0</v>
      </c>
      <c r="H5" s="4"/>
      <c r="I5" s="4">
        <f t="shared" si="1"/>
        <v>0</v>
      </c>
      <c r="J5" s="4"/>
    </row>
    <row r="6" spans="1:11" x14ac:dyDescent="0.35">
      <c r="A6" s="21">
        <v>46270</v>
      </c>
      <c r="B6" s="8" t="s">
        <v>25</v>
      </c>
      <c r="C6" s="4">
        <f>Summary!C8</f>
        <v>0</v>
      </c>
      <c r="D6" s="4">
        <f>Summary!U8</f>
        <v>0</v>
      </c>
      <c r="E6" s="4"/>
      <c r="F6" s="4"/>
      <c r="G6" s="4">
        <f t="shared" si="0"/>
        <v>0</v>
      </c>
      <c r="H6" s="4"/>
      <c r="I6" s="4">
        <f t="shared" si="1"/>
        <v>0</v>
      </c>
      <c r="J6" s="4"/>
      <c r="K6" s="12"/>
    </row>
    <row r="7" spans="1:11" x14ac:dyDescent="0.35">
      <c r="A7" s="21">
        <v>46271</v>
      </c>
      <c r="B7" s="36" t="s">
        <v>26</v>
      </c>
      <c r="C7" s="4">
        <f>Summary!C9</f>
        <v>0</v>
      </c>
      <c r="D7" s="4">
        <f>Summary!U9</f>
        <v>0</v>
      </c>
      <c r="E7" s="4"/>
      <c r="F7" s="4"/>
      <c r="G7" s="4">
        <f t="shared" si="0"/>
        <v>0</v>
      </c>
      <c r="H7" s="4"/>
      <c r="I7" s="4">
        <f t="shared" si="1"/>
        <v>0</v>
      </c>
      <c r="J7" s="4"/>
    </row>
    <row r="8" spans="1:11" x14ac:dyDescent="0.35">
      <c r="A8" s="21">
        <v>46272</v>
      </c>
      <c r="B8" s="8" t="s">
        <v>27</v>
      </c>
      <c r="C8" s="4">
        <f>Summary!C10</f>
        <v>0</v>
      </c>
      <c r="D8" s="4">
        <f>Summary!U10</f>
        <v>0</v>
      </c>
      <c r="E8" s="4"/>
      <c r="F8" s="4"/>
      <c r="G8" s="4">
        <f t="shared" si="0"/>
        <v>0</v>
      </c>
      <c r="H8" s="4"/>
      <c r="I8" s="4">
        <f t="shared" si="1"/>
        <v>0</v>
      </c>
      <c r="J8" s="4"/>
    </row>
    <row r="9" spans="1:11" x14ac:dyDescent="0.35">
      <c r="A9" s="21">
        <v>46273</v>
      </c>
      <c r="B9" s="8" t="s">
        <v>28</v>
      </c>
      <c r="C9" s="4">
        <f>Summary!C11</f>
        <v>0</v>
      </c>
      <c r="D9" s="4">
        <f>Summary!U11</f>
        <v>0</v>
      </c>
      <c r="E9" s="4"/>
      <c r="F9" s="4"/>
      <c r="G9" s="4">
        <f t="shared" si="0"/>
        <v>0</v>
      </c>
      <c r="H9" s="4"/>
      <c r="I9" s="4">
        <f t="shared" si="1"/>
        <v>0</v>
      </c>
      <c r="J9" s="4"/>
    </row>
    <row r="10" spans="1:11" x14ac:dyDescent="0.35">
      <c r="A10" s="21">
        <v>46274</v>
      </c>
      <c r="B10" s="8" t="s">
        <v>22</v>
      </c>
      <c r="C10" s="4">
        <f>Summary!C12</f>
        <v>0</v>
      </c>
      <c r="D10" s="4">
        <f>Summary!U12</f>
        <v>0</v>
      </c>
      <c r="E10" s="4"/>
      <c r="F10" s="4"/>
      <c r="G10" s="4">
        <f t="shared" si="0"/>
        <v>0</v>
      </c>
      <c r="H10" s="4"/>
      <c r="I10" s="4">
        <f t="shared" si="1"/>
        <v>0</v>
      </c>
      <c r="J10" s="4"/>
    </row>
    <row r="11" spans="1:11" x14ac:dyDescent="0.35">
      <c r="A11" s="21">
        <v>46275</v>
      </c>
      <c r="B11" s="8" t="s">
        <v>23</v>
      </c>
      <c r="C11" s="4">
        <f>Summary!C13</f>
        <v>0</v>
      </c>
      <c r="D11" s="4">
        <f>Summary!U13</f>
        <v>0</v>
      </c>
      <c r="E11" s="4"/>
      <c r="F11" s="4"/>
      <c r="G11" s="4">
        <f t="shared" si="0"/>
        <v>0</v>
      </c>
      <c r="H11" s="4"/>
      <c r="I11" s="4">
        <f t="shared" si="1"/>
        <v>0</v>
      </c>
      <c r="J11" s="4"/>
      <c r="K11" s="12"/>
    </row>
    <row r="12" spans="1:11" x14ac:dyDescent="0.35">
      <c r="A12" s="21">
        <v>46276</v>
      </c>
      <c r="B12" s="8" t="s">
        <v>24</v>
      </c>
      <c r="C12" s="4">
        <f>Summary!C14</f>
        <v>0</v>
      </c>
      <c r="D12" s="4">
        <f>Summary!U14</f>
        <v>0</v>
      </c>
      <c r="E12" s="4"/>
      <c r="F12" s="4"/>
      <c r="G12" s="4">
        <f t="shared" si="0"/>
        <v>0</v>
      </c>
      <c r="H12" s="4"/>
      <c r="I12" s="4">
        <f t="shared" si="1"/>
        <v>0</v>
      </c>
      <c r="J12" s="4"/>
    </row>
    <row r="13" spans="1:11" x14ac:dyDescent="0.35">
      <c r="A13" s="21">
        <v>46277</v>
      </c>
      <c r="B13" s="8" t="s">
        <v>25</v>
      </c>
      <c r="C13" s="4">
        <f>Summary!C15</f>
        <v>0</v>
      </c>
      <c r="D13" s="4">
        <f>Summary!U15</f>
        <v>0</v>
      </c>
      <c r="E13" s="4"/>
      <c r="F13" s="4"/>
      <c r="G13" s="4">
        <f t="shared" si="0"/>
        <v>0</v>
      </c>
      <c r="H13" s="4"/>
      <c r="I13" s="4">
        <f t="shared" si="1"/>
        <v>0</v>
      </c>
      <c r="J13" s="4"/>
    </row>
    <row r="14" spans="1:11" x14ac:dyDescent="0.35">
      <c r="A14" s="21">
        <v>46278</v>
      </c>
      <c r="B14" s="36" t="s">
        <v>26</v>
      </c>
      <c r="C14" s="4">
        <f>Summary!C16</f>
        <v>0</v>
      </c>
      <c r="D14" s="4">
        <f>Summary!U16</f>
        <v>0</v>
      </c>
      <c r="E14" s="4"/>
      <c r="F14" s="4"/>
      <c r="G14" s="4">
        <f t="shared" si="0"/>
        <v>0</v>
      </c>
      <c r="H14" s="4"/>
      <c r="I14" s="4">
        <f t="shared" si="1"/>
        <v>0</v>
      </c>
      <c r="J14" s="4"/>
    </row>
    <row r="15" spans="1:11" x14ac:dyDescent="0.35">
      <c r="A15" s="21">
        <v>46279</v>
      </c>
      <c r="B15" s="8" t="s">
        <v>27</v>
      </c>
      <c r="C15" s="4">
        <f>Summary!C17</f>
        <v>0</v>
      </c>
      <c r="D15" s="4">
        <f>Summary!U17</f>
        <v>0</v>
      </c>
      <c r="E15" s="4"/>
      <c r="F15" s="4"/>
      <c r="G15" s="4">
        <f t="shared" si="0"/>
        <v>0</v>
      </c>
      <c r="H15" s="4"/>
      <c r="I15" s="4">
        <f t="shared" si="1"/>
        <v>0</v>
      </c>
      <c r="J15" s="4"/>
    </row>
    <row r="16" spans="1:11" x14ac:dyDescent="0.35">
      <c r="A16" s="21">
        <v>46280</v>
      </c>
      <c r="B16" s="8" t="s">
        <v>28</v>
      </c>
      <c r="C16" s="4">
        <f>Summary!C18</f>
        <v>0</v>
      </c>
      <c r="D16" s="4">
        <f>Summary!U18</f>
        <v>0</v>
      </c>
      <c r="E16" s="4"/>
      <c r="F16" s="4"/>
      <c r="G16" s="4">
        <f t="shared" si="0"/>
        <v>0</v>
      </c>
      <c r="H16" s="4"/>
      <c r="I16" s="4">
        <f t="shared" si="1"/>
        <v>0</v>
      </c>
      <c r="J16" s="4"/>
    </row>
    <row r="17" spans="1:13" x14ac:dyDescent="0.35">
      <c r="A17" s="21">
        <v>46281</v>
      </c>
      <c r="B17" s="8" t="s">
        <v>22</v>
      </c>
      <c r="C17" s="4">
        <f>Summary!C19</f>
        <v>0</v>
      </c>
      <c r="D17" s="4">
        <f>Summary!U19</f>
        <v>0</v>
      </c>
      <c r="E17" s="4"/>
      <c r="F17" s="4"/>
      <c r="G17" s="4">
        <f t="shared" si="0"/>
        <v>0</v>
      </c>
      <c r="H17" s="4"/>
      <c r="I17" s="4">
        <f t="shared" si="1"/>
        <v>0</v>
      </c>
      <c r="J17" s="4"/>
    </row>
    <row r="18" spans="1:13" x14ac:dyDescent="0.35">
      <c r="A18" s="21">
        <v>46282</v>
      </c>
      <c r="B18" s="8" t="s">
        <v>23</v>
      </c>
      <c r="C18" s="4">
        <f>Summary!C20</f>
        <v>0</v>
      </c>
      <c r="D18" s="4">
        <f>Summary!U20</f>
        <v>0</v>
      </c>
      <c r="E18" s="4"/>
      <c r="F18" s="4"/>
      <c r="G18" s="4">
        <f t="shared" si="0"/>
        <v>0</v>
      </c>
      <c r="H18" s="4"/>
      <c r="I18" s="4">
        <f t="shared" si="1"/>
        <v>0</v>
      </c>
      <c r="J18" s="4"/>
    </row>
    <row r="19" spans="1:13" x14ac:dyDescent="0.35">
      <c r="A19" s="21">
        <v>46283</v>
      </c>
      <c r="B19" s="8" t="s">
        <v>24</v>
      </c>
      <c r="C19" s="4">
        <f>Summary!C21</f>
        <v>0</v>
      </c>
      <c r="D19" s="4">
        <f>Summary!U21</f>
        <v>0</v>
      </c>
      <c r="E19" s="4"/>
      <c r="F19" s="4"/>
      <c r="G19" s="4">
        <f t="shared" si="0"/>
        <v>0</v>
      </c>
      <c r="H19" s="4"/>
      <c r="I19" s="4">
        <f t="shared" si="1"/>
        <v>0</v>
      </c>
      <c r="J19" s="4"/>
    </row>
    <row r="20" spans="1:13" x14ac:dyDescent="0.35">
      <c r="A20" s="21">
        <v>46284</v>
      </c>
      <c r="B20" s="8" t="s">
        <v>25</v>
      </c>
      <c r="C20" s="4">
        <f>Summary!C22</f>
        <v>0</v>
      </c>
      <c r="D20" s="4">
        <f>Summary!U22</f>
        <v>0</v>
      </c>
      <c r="E20" s="4"/>
      <c r="F20" s="4"/>
      <c r="G20" s="4">
        <f t="shared" si="0"/>
        <v>0</v>
      </c>
      <c r="H20" s="4"/>
      <c r="I20" s="4">
        <f t="shared" si="1"/>
        <v>0</v>
      </c>
      <c r="J20" s="4"/>
    </row>
    <row r="21" spans="1:13" x14ac:dyDescent="0.35">
      <c r="A21" s="21">
        <v>46285</v>
      </c>
      <c r="B21" s="36" t="s">
        <v>26</v>
      </c>
      <c r="C21" s="4">
        <f>Summary!C23</f>
        <v>0</v>
      </c>
      <c r="D21" s="4">
        <f>Summary!U23</f>
        <v>0</v>
      </c>
      <c r="E21" s="4"/>
      <c r="F21" s="4"/>
      <c r="G21" s="4">
        <f t="shared" si="0"/>
        <v>0</v>
      </c>
      <c r="H21" s="4"/>
      <c r="I21" s="4">
        <f t="shared" si="1"/>
        <v>0</v>
      </c>
      <c r="J21" s="4"/>
    </row>
    <row r="22" spans="1:13" x14ac:dyDescent="0.35">
      <c r="A22" s="21">
        <v>46286</v>
      </c>
      <c r="B22" s="8" t="s">
        <v>27</v>
      </c>
      <c r="C22" s="4">
        <f>Summary!C24</f>
        <v>0</v>
      </c>
      <c r="D22" s="4">
        <f>Summary!U24</f>
        <v>0</v>
      </c>
      <c r="E22" s="4"/>
      <c r="F22" s="4"/>
      <c r="G22" s="4">
        <f t="shared" si="0"/>
        <v>0</v>
      </c>
      <c r="H22" s="4"/>
      <c r="I22" s="4">
        <f t="shared" si="1"/>
        <v>0</v>
      </c>
      <c r="J22" s="4"/>
    </row>
    <row r="23" spans="1:13" x14ac:dyDescent="0.35">
      <c r="A23" s="21">
        <v>46287</v>
      </c>
      <c r="B23" s="8" t="s">
        <v>28</v>
      </c>
      <c r="C23" s="4">
        <f>Summary!C25</f>
        <v>0</v>
      </c>
      <c r="D23" s="4">
        <f>Summary!U25</f>
        <v>0</v>
      </c>
      <c r="E23" s="4"/>
      <c r="F23" s="4"/>
      <c r="G23" s="4">
        <f t="shared" si="0"/>
        <v>0</v>
      </c>
      <c r="H23" s="4"/>
      <c r="I23" s="4">
        <f t="shared" si="1"/>
        <v>0</v>
      </c>
      <c r="J23" s="4"/>
    </row>
    <row r="24" spans="1:13" x14ac:dyDescent="0.35">
      <c r="A24" s="21">
        <v>46288</v>
      </c>
      <c r="B24" s="8" t="s">
        <v>22</v>
      </c>
      <c r="C24" s="4">
        <f>Summary!C26</f>
        <v>0</v>
      </c>
      <c r="D24" s="4">
        <f>Summary!U26</f>
        <v>0</v>
      </c>
      <c r="E24" s="4"/>
      <c r="F24" s="4"/>
      <c r="G24" s="4">
        <f t="shared" si="0"/>
        <v>0</v>
      </c>
      <c r="H24" s="4"/>
      <c r="I24" s="4">
        <f t="shared" si="1"/>
        <v>0</v>
      </c>
      <c r="J24" s="4"/>
    </row>
    <row r="25" spans="1:13" x14ac:dyDescent="0.35">
      <c r="A25" s="21">
        <v>46289</v>
      </c>
      <c r="B25" s="8" t="s">
        <v>23</v>
      </c>
      <c r="C25" s="4">
        <f>Summary!C27</f>
        <v>0</v>
      </c>
      <c r="D25" s="4">
        <f>Summary!U27</f>
        <v>0</v>
      </c>
      <c r="E25" s="4"/>
      <c r="F25" s="4"/>
      <c r="G25" s="4">
        <f t="shared" si="0"/>
        <v>0</v>
      </c>
      <c r="H25" s="4"/>
      <c r="I25" s="4">
        <f t="shared" si="1"/>
        <v>0</v>
      </c>
      <c r="J25" s="4"/>
    </row>
    <row r="26" spans="1:13" x14ac:dyDescent="0.35">
      <c r="A26" s="21">
        <v>46290</v>
      </c>
      <c r="B26" s="8" t="s">
        <v>24</v>
      </c>
      <c r="C26" s="4">
        <f>Summary!C28</f>
        <v>0</v>
      </c>
      <c r="D26" s="4">
        <f>Summary!U28</f>
        <v>0</v>
      </c>
      <c r="E26" s="4"/>
      <c r="F26" s="4"/>
      <c r="G26" s="4">
        <f t="shared" si="0"/>
        <v>0</v>
      </c>
      <c r="H26" s="4"/>
      <c r="I26" s="4">
        <f t="shared" si="1"/>
        <v>0</v>
      </c>
      <c r="J26" s="4"/>
    </row>
    <row r="27" spans="1:13" x14ac:dyDescent="0.35">
      <c r="A27" s="21">
        <v>46291</v>
      </c>
      <c r="B27" s="8" t="s">
        <v>25</v>
      </c>
      <c r="C27" s="4">
        <f>Summary!C29</f>
        <v>0</v>
      </c>
      <c r="D27" s="4">
        <f>Summary!U29</f>
        <v>0</v>
      </c>
      <c r="E27" s="4"/>
      <c r="F27" s="4"/>
      <c r="G27" s="4">
        <f t="shared" si="0"/>
        <v>0</v>
      </c>
      <c r="H27" s="4"/>
      <c r="I27" s="4">
        <f t="shared" si="1"/>
        <v>0</v>
      </c>
      <c r="J27" s="4"/>
    </row>
    <row r="28" spans="1:13" x14ac:dyDescent="0.35">
      <c r="A28" s="21">
        <v>46292</v>
      </c>
      <c r="B28" s="36" t="s">
        <v>26</v>
      </c>
      <c r="C28" s="4">
        <f>Summary!C30</f>
        <v>0</v>
      </c>
      <c r="D28" s="4">
        <f>Summary!U30</f>
        <v>0</v>
      </c>
      <c r="E28" s="4"/>
      <c r="F28" s="4"/>
      <c r="G28" s="4">
        <f t="shared" si="0"/>
        <v>0</v>
      </c>
      <c r="H28" s="4"/>
      <c r="I28" s="4">
        <f t="shared" si="1"/>
        <v>0</v>
      </c>
      <c r="J28" s="4"/>
    </row>
    <row r="29" spans="1:13" x14ac:dyDescent="0.35">
      <c r="A29" s="21">
        <v>46293</v>
      </c>
      <c r="B29" s="8" t="s">
        <v>27</v>
      </c>
      <c r="C29" s="4">
        <f>Summary!C31</f>
        <v>0</v>
      </c>
      <c r="D29" s="4">
        <f>Summary!U31</f>
        <v>0</v>
      </c>
      <c r="E29" s="4"/>
      <c r="F29" s="4"/>
      <c r="G29" s="4">
        <f t="shared" si="0"/>
        <v>0</v>
      </c>
      <c r="H29" s="4"/>
      <c r="I29" s="4">
        <f t="shared" si="1"/>
        <v>0</v>
      </c>
      <c r="J29" s="4"/>
    </row>
    <row r="30" spans="1:13" x14ac:dyDescent="0.35">
      <c r="A30" s="21">
        <v>46294</v>
      </c>
      <c r="B30" s="8" t="s">
        <v>28</v>
      </c>
      <c r="C30" s="4">
        <f>Summary!C32</f>
        <v>0</v>
      </c>
      <c r="D30" s="4">
        <f>Summary!U32</f>
        <v>0</v>
      </c>
      <c r="E30" s="4"/>
      <c r="F30" s="4"/>
      <c r="G30" s="4">
        <f t="shared" si="0"/>
        <v>0</v>
      </c>
      <c r="H30" s="4"/>
      <c r="I30" s="4">
        <f t="shared" si="1"/>
        <v>0</v>
      </c>
      <c r="J30" s="4"/>
    </row>
    <row r="31" spans="1:13" x14ac:dyDescent="0.35">
      <c r="A31" s="21">
        <v>46295</v>
      </c>
      <c r="B31" s="8" t="s">
        <v>22</v>
      </c>
      <c r="C31" s="4">
        <f>Summary!C33</f>
        <v>0</v>
      </c>
      <c r="D31" s="4">
        <f>Summary!U33</f>
        <v>0</v>
      </c>
      <c r="E31" s="4"/>
      <c r="F31" s="4"/>
      <c r="G31" s="4">
        <f t="shared" si="0"/>
        <v>0</v>
      </c>
      <c r="H31" s="4"/>
      <c r="I31" s="4">
        <f>I30+G31+E31-F31-H31</f>
        <v>0</v>
      </c>
      <c r="J31" s="4"/>
    </row>
    <row r="32" spans="1:13" x14ac:dyDescent="0.35">
      <c r="A32" s="21">
        <v>46265</v>
      </c>
      <c r="B32" s="8" t="s">
        <v>27</v>
      </c>
      <c r="C32" s="4">
        <f>Summary!C34</f>
        <v>0</v>
      </c>
      <c r="D32" s="4">
        <f>Summary!U34</f>
        <v>0</v>
      </c>
      <c r="E32" s="4"/>
      <c r="F32" s="4"/>
      <c r="G32" s="4">
        <f t="shared" si="0"/>
        <v>0</v>
      </c>
      <c r="H32" s="4"/>
      <c r="I32" s="4">
        <f t="shared" si="1"/>
        <v>0</v>
      </c>
      <c r="J32" s="4"/>
      <c r="K32" s="12"/>
      <c r="M32" s="12"/>
    </row>
    <row r="33" spans="3:10" x14ac:dyDescent="0.35">
      <c r="C33" s="4"/>
      <c r="D33" s="4"/>
      <c r="E33" s="4"/>
      <c r="F33" s="4"/>
      <c r="G33" s="4"/>
      <c r="H33" s="4"/>
      <c r="I33" s="4"/>
      <c r="J33" s="4"/>
    </row>
    <row r="34" spans="3:10" s="14" customFormat="1" x14ac:dyDescent="0.35">
      <c r="C34" s="30">
        <f>SUM(C2:C32)</f>
        <v>0</v>
      </c>
      <c r="D34" s="30">
        <f t="shared" ref="D34:I34" si="2">SUM(D2:D32)</f>
        <v>0</v>
      </c>
      <c r="E34" s="30">
        <f t="shared" si="2"/>
        <v>0</v>
      </c>
      <c r="F34" s="30">
        <f t="shared" si="2"/>
        <v>0</v>
      </c>
      <c r="G34" s="30">
        <f t="shared" si="2"/>
        <v>0</v>
      </c>
      <c r="H34" s="30">
        <f t="shared" si="2"/>
        <v>0</v>
      </c>
      <c r="I34" s="30">
        <f t="shared" si="2"/>
        <v>0</v>
      </c>
      <c r="J34" s="30"/>
    </row>
    <row r="35" spans="3:10" x14ac:dyDescent="0.35">
      <c r="C35" s="4"/>
      <c r="D35" s="4"/>
      <c r="E35" s="4"/>
      <c r="F35" s="4"/>
      <c r="G35" s="4"/>
      <c r="H35" s="4"/>
      <c r="I35" s="4"/>
      <c r="J35" s="4"/>
    </row>
    <row r="36" spans="3:10" x14ac:dyDescent="0.35">
      <c r="C36" s="4"/>
      <c r="D36" s="4"/>
      <c r="E36" s="4"/>
      <c r="F36" s="4"/>
      <c r="G36" s="4"/>
      <c r="H36" s="4"/>
      <c r="I36" s="4"/>
      <c r="J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Paytm</vt:lpstr>
      <vt:lpstr>Phone pe</vt:lpstr>
      <vt:lpstr>Cash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2026-08-02T05:23:45Z</dcterms:created>
  <dcterms:modified xsi:type="dcterms:W3CDTF">2026-09-22T09:10:23Z</dcterms:modified>
</cp:coreProperties>
</file>